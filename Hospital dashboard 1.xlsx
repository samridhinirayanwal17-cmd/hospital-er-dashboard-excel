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MRI\Downloads\"/>
    </mc:Choice>
  </mc:AlternateContent>
  <xr:revisionPtr revIDLastSave="0" documentId="8_{CADEA54A-E8D6-4693-8418-8A5C37A35930}" xr6:coauthVersionLast="47" xr6:coauthVersionMax="47" xr10:uidLastSave="{00000000-0000-0000-0000-000000000000}"/>
  <bookViews>
    <workbookView xWindow="-108" yWindow="-108" windowWidth="23256" windowHeight="12456" firstSheet="1" activeTab="1" xr2:uid="{948F38CD-CE22-4D8E-B518-430CDA0531A7}"/>
  </bookViews>
  <sheets>
    <sheet name="Sheet2" sheetId="2" state="hidden" r:id="rId1"/>
    <sheet name="Hospital dashboard" sheetId="3" r:id="rId2"/>
  </sheets>
  <definedNames>
    <definedName name="Slicer_calender_table__Month">#N/A</definedName>
    <definedName name="Slicer_calender_table__Year">#N/A</definedName>
  </definedNames>
  <calcPr calcId="191029"/>
  <pivotCaches>
    <pivotCache cacheId="17" r:id="rId3"/>
    <pivotCache cacheId="20" r:id="rId4"/>
    <pivotCache cacheId="23" r:id="rId5"/>
    <pivotCache cacheId="26" r:id="rId6"/>
    <pivotCache cacheId="29" r:id="rId7"/>
    <pivotCache cacheId="32" r:id="rId8"/>
    <pivotCache cacheId="35" r:id="rId9"/>
    <pivotCache cacheId="38" r:id="rId10"/>
    <pivotCache cacheId="41" r:id="rId11"/>
    <pivotCache cacheId="44" r:id="rId12"/>
    <pivotCache cacheId="47" r:id="rId13"/>
    <pivotCache cacheId="63"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f89a96b-c837-4e36-8fca-32e25f069624" name="Hospital Emergency Room Data" connection="Query - Hospital Emergency Room Data"/>
          <x15:modelTable id="calender table_0d45fba4-7269-44f4-b0bd-baa96a93ef6c" name="calender table" connection="Query - calender table"/>
        </x15:modelTables>
        <x15:modelRelationships>
          <x15:modelRelationship fromTable="Hospital Emergency Room Data" fromColumn="Patient Admission Date" toTable="calender table" toColumn="calender_table"/>
        </x15:modelRelationships>
        <x15:extLst>
          <ext xmlns:x16="http://schemas.microsoft.com/office/spreadsheetml/2014/11/main" uri="{9835A34E-60A6-4A7C-AAB8-D5F71C897F49}">
            <x16:modelTimeGroupings>
              <x16:modelTimeGrouping tableName="calender table" columnName="calender_table" columnId="calender_table">
                <x16:calculatedTimeColumn columnName="calender_table (Year)" columnId="calender_table (Year)" contentType="years" isSelected="1"/>
                <x16:calculatedTimeColumn columnName="calender_table (Quarter)" columnId="calender_table (Quarter)" contentType="quarters" isSelected="1"/>
                <x16:calculatedTimeColumn columnName="calender_table (Month Index)" columnId="calender_table (Month Index)" contentType="monthsindex" isSelected="1"/>
                <x16:calculatedTimeColumn columnName="calender_table (Month)" columnId="calender_table (Month)" contentType="months" isSelected="1"/>
                <x16:calculatedTimeColumn columnName="calender_table (Day Index)" columnId="calender_table (Day Index)" contentType="daysindex" isSelected="0"/>
                <x16:calculatedTimeColumn columnName="calender_table (Day)" columnId="calender_tabl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2" l="1"/>
  <c r="J21" i="2"/>
  <c r="K21" i="2"/>
  <c r="K20" i="2"/>
  <c r="I21" i="2"/>
  <c r="I2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756483-7874-4B6C-B12A-FEF3130ADE8E}" name="Query - calender table" description="Connection to the 'calender table' query in the workbook." type="100" refreshedVersion="8" minRefreshableVersion="5">
    <extLst>
      <ext xmlns:x15="http://schemas.microsoft.com/office/spreadsheetml/2010/11/main" uri="{DE250136-89BD-433C-8126-D09CA5730AF9}">
        <x15:connection id="463d6460-12a4-4e46-8b98-2b848fb550f4"/>
      </ext>
    </extLst>
  </connection>
  <connection id="2" xr16:uid="{86CB4F18-F03C-465D-A545-7CC753931FD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826e9c0-8999-4aee-b7be-1e596a66644a"/>
      </ext>
    </extLst>
  </connection>
  <connection id="3" xr16:uid="{76438705-F7EA-4090-AE67-5DAE6443A8F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<sst xmlns="http://schemas.openxmlformats.org/spreadsheetml/2006/main" count="119" uniqueCount="72">
  <si>
    <t>Row Labels</t>
  </si>
  <si>
    <t>Grand Total</t>
  </si>
  <si>
    <t>Distinct Count of Patient Id</t>
  </si>
  <si>
    <t>Average of Patient Waittime</t>
  </si>
  <si>
    <t xml:space="preserve"> Patient Satisfaction Score</t>
  </si>
  <si>
    <t>Admitted</t>
  </si>
  <si>
    <t>not admitted</t>
  </si>
  <si>
    <t>Count of Patient Admission Flag</t>
  </si>
  <si>
    <t>Count of Patient Admission Flag2</t>
  </si>
  <si>
    <t>Admission Status</t>
  </si>
  <si>
    <t>No. of patient</t>
  </si>
  <si>
    <t>Status%</t>
  </si>
  <si>
    <t>chart</t>
  </si>
  <si>
    <t>Count of Patient Id</t>
  </si>
  <si>
    <t>0-9</t>
  </si>
  <si>
    <t>10-19</t>
  </si>
  <si>
    <t>20-29</t>
  </si>
  <si>
    <t>30-39</t>
  </si>
  <si>
    <t>40-49</t>
  </si>
  <si>
    <t>50-59</t>
  </si>
  <si>
    <t>60-69</t>
  </si>
  <si>
    <t>70-79</t>
  </si>
  <si>
    <t>Count of Calculated Column 1</t>
  </si>
  <si>
    <t>Column Labels</t>
  </si>
  <si>
    <t>DELAY</t>
  </si>
  <si>
    <t>ON TIME</t>
  </si>
  <si>
    <t>Count of Calculated Column 2</t>
  </si>
  <si>
    <t>FEMALE</t>
  </si>
  <si>
    <t>MALE</t>
  </si>
  <si>
    <t>Cardiology</t>
  </si>
  <si>
    <t>Gastroenterology</t>
  </si>
  <si>
    <t>General Practice</t>
  </si>
  <si>
    <t>Neurology</t>
  </si>
  <si>
    <t>None</t>
  </si>
  <si>
    <t>Orthopedics</t>
  </si>
  <si>
    <t>Physiotherapy</t>
  </si>
  <si>
    <t>Renal</t>
  </si>
  <si>
    <t>Count of Department Referral</t>
  </si>
  <si>
    <t>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</si>
  <si>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</si>
  <si>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</si>
  <si>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</si>
  <si>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</si>
  <si>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</si>
  <si>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</si>
  <si>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</si>
  <si>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</si>
  <si>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</si>
  <si>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</si>
  <si>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</si>
  <si>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</si>
  <si>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</si>
  <si>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</si>
  <si>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</si>
  <si>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</si>
  <si>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</si>
  <si>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</si>
  <si>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</si>
  <si>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</si>
  <si>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</si>
  <si>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</si>
  <si>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</si>
  <si>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</si>
  <si>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</si>
  <si>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</si>
  <si>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</si>
  <si>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</si>
  <si>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</si>
  <si>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</si>
  <si>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</si>
  <si>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May</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</si>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</sst>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theme="2"/>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10" fontId="0" fillId="3" borderId="0" xfId="1" applyNumberFormat="1" applyFont="1" applyFill="1"/>
    <xf numFmtId="0" fontId="2" fillId="2" borderId="0" xfId="0" applyFont="1" applyFill="1"/>
    <xf numFmtId="0" fontId="0" fillId="0" borderId="0" xfId="0" applyAlignment="1">
      <alignment horizontal="left" indent="1"/>
    </xf>
    <xf numFmtId="14" fontId="0" fillId="0" borderId="0" xfId="0" applyNumberFormat="1"/>
    <xf numFmtId="0" fontId="0" fillId="0" borderId="0" xfId="0" applyAlignment="1">
      <alignment horizontal="left" indent="2"/>
    </xf>
    <xf numFmtId="0" fontId="0" fillId="4" borderId="0" xfId="0" applyFill="1"/>
    <xf numFmtId="0" fontId="0" fillId="0" borderId="0" xfId="0" applyNumberFormat="1"/>
  </cellXfs>
  <cellStyles count="2">
    <cellStyle name="Normal" xfId="0" builtinId="0"/>
    <cellStyle name="Percent" xfId="1" builtinId="5"/>
  </cellStyles>
  <dxfs count="1">
    <dxf>
      <border>
        <horizontal style="thin">
          <color auto="1"/>
        </horizontal>
      </border>
    </dxf>
  </dxfs>
  <tableStyles count="1" defaultTableStyle="TableStyleMedium2" defaultPivotStyle="PivotStyleLight16">
    <tableStyle name="Slicer Style 1" pivot="0" table="0" count="1" xr9:uid="{E10B1F2E-D7B4-4614-9330-6EECEA6966CA}">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1.xlsx]Sheet2!PivotTable2</c:name>
    <c:fmtId val="5"/>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s>
    <c:plotArea>
      <c:layout>
        <c:manualLayout>
          <c:layoutTarget val="inner"/>
          <c:xMode val="edge"/>
          <c:yMode val="edge"/>
          <c:x val="0.10627991354021923"/>
          <c:y val="9.0224493214943871E-2"/>
          <c:w val="0.893719806763285"/>
          <c:h val="0.76793248945147674"/>
        </c:manualLayout>
      </c:layout>
      <c:barChart>
        <c:barDir val="bar"/>
        <c:grouping val="clustered"/>
        <c:varyColors val="0"/>
        <c:ser>
          <c:idx val="0"/>
          <c:order val="0"/>
          <c:tx>
            <c:strRef>
              <c:f>Sheet2!$K$4</c:f>
              <c:strCache>
                <c:ptCount val="1"/>
                <c:pt idx="0">
                  <c:v>Count of Patient Admission Flag</c:v>
                </c:pt>
              </c:strCache>
            </c:strRef>
          </c:tx>
          <c:spPr>
            <a:solidFill>
              <a:schemeClr val="accent6">
                <a:lumMod val="75000"/>
              </a:schemeClr>
            </a:solidFill>
            <a:ln>
              <a:noFill/>
            </a:ln>
            <a:effectLst/>
          </c:spPr>
          <c:invertIfNegative val="0"/>
          <c:cat>
            <c:strRef>
              <c:f>Sheet2!$J$5:$J$7</c:f>
              <c:strCache>
                <c:ptCount val="2"/>
                <c:pt idx="0">
                  <c:v>Admitted</c:v>
                </c:pt>
                <c:pt idx="1">
                  <c:v>not admitted</c:v>
                </c:pt>
              </c:strCache>
            </c:strRef>
          </c:cat>
          <c:val>
            <c:numRef>
              <c:f>Sheet2!$K$5:$K$7</c:f>
              <c:numCache>
                <c:formatCode>General</c:formatCode>
                <c:ptCount val="2"/>
                <c:pt idx="0">
                  <c:v>495</c:v>
                </c:pt>
                <c:pt idx="1">
                  <c:v>504</c:v>
                </c:pt>
              </c:numCache>
            </c:numRef>
          </c:val>
          <c:extLst>
            <c:ext xmlns:c16="http://schemas.microsoft.com/office/drawing/2014/chart" uri="{C3380CC4-5D6E-409C-BE32-E72D297353CC}">
              <c16:uniqueId val="{00000000-4DE9-4EE4-AE8D-471C088D04F7}"/>
            </c:ext>
          </c:extLst>
        </c:ser>
        <c:ser>
          <c:idx val="1"/>
          <c:order val="1"/>
          <c:tx>
            <c:strRef>
              <c:f>Sheet2!$L$4</c:f>
              <c:strCache>
                <c:ptCount val="1"/>
                <c:pt idx="0">
                  <c:v>Count of Patient Admission Flag2</c:v>
                </c:pt>
              </c:strCache>
            </c:strRef>
          </c:tx>
          <c:spPr>
            <a:solidFill>
              <a:schemeClr val="accent2"/>
            </a:solidFill>
            <a:ln>
              <a:noFill/>
            </a:ln>
            <a:effectLst/>
          </c:spPr>
          <c:invertIfNegative val="0"/>
          <c:cat>
            <c:strRef>
              <c:f>Sheet2!$J$5:$J$7</c:f>
              <c:strCache>
                <c:ptCount val="2"/>
                <c:pt idx="0">
                  <c:v>Admitted</c:v>
                </c:pt>
                <c:pt idx="1">
                  <c:v>not admitted</c:v>
                </c:pt>
              </c:strCache>
            </c:strRef>
          </c:cat>
          <c:val>
            <c:numRef>
              <c:f>Sheet2!$L$5:$L$7</c:f>
              <c:numCache>
                <c:formatCode>0.00%</c:formatCode>
                <c:ptCount val="2"/>
                <c:pt idx="0">
                  <c:v>0.49549549549549549</c:v>
                </c:pt>
                <c:pt idx="1">
                  <c:v>0.50450450450450446</c:v>
                </c:pt>
              </c:numCache>
            </c:numRef>
          </c:val>
          <c:extLst>
            <c:ext xmlns:c16="http://schemas.microsoft.com/office/drawing/2014/chart" uri="{C3380CC4-5D6E-409C-BE32-E72D297353CC}">
              <c16:uniqueId val="{00000001-4DE9-4EE4-AE8D-471C088D04F7}"/>
            </c:ext>
          </c:extLst>
        </c:ser>
        <c:dLbls>
          <c:showLegendKey val="0"/>
          <c:showVal val="0"/>
          <c:showCatName val="0"/>
          <c:showSerName val="0"/>
          <c:showPercent val="0"/>
          <c:showBubbleSize val="0"/>
        </c:dLbls>
        <c:gapWidth val="72"/>
        <c:axId val="1220643216"/>
        <c:axId val="1220644656"/>
      </c:barChart>
      <c:catAx>
        <c:axId val="1220643216"/>
        <c:scaling>
          <c:orientation val="minMax"/>
        </c:scaling>
        <c:delete val="1"/>
        <c:axPos val="l"/>
        <c:numFmt formatCode="General" sourceLinked="1"/>
        <c:majorTickMark val="none"/>
        <c:minorTickMark val="none"/>
        <c:tickLblPos val="nextTo"/>
        <c:crossAx val="1220644656"/>
        <c:crosses val="autoZero"/>
        <c:auto val="1"/>
        <c:lblAlgn val="ctr"/>
        <c:lblOffset val="100"/>
        <c:noMultiLvlLbl val="0"/>
      </c:catAx>
      <c:valAx>
        <c:axId val="1220644656"/>
        <c:scaling>
          <c:orientation val="minMax"/>
        </c:scaling>
        <c:delete val="1"/>
        <c:axPos val="b"/>
        <c:numFmt formatCode="General" sourceLinked="1"/>
        <c:majorTickMark val="none"/>
        <c:minorTickMark val="none"/>
        <c:tickLblPos val="nextTo"/>
        <c:crossAx val="12206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patients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44444444444448E-2"/>
          <c:y val="9.7638888888888886E-2"/>
          <c:w val="0.91780074365704289"/>
          <c:h val="0.6443361767279091"/>
        </c:manualLayout>
      </c:layout>
      <c:barChart>
        <c:barDir val="col"/>
        <c:grouping val="clustered"/>
        <c:varyColors val="0"/>
        <c:ser>
          <c:idx val="0"/>
          <c:order val="0"/>
          <c:tx>
            <c:strRef>
              <c:f>Sheet2!$H$26</c:f>
              <c:strCache>
                <c:ptCount val="1"/>
                <c:pt idx="0">
                  <c:v>Total</c:v>
                </c:pt>
              </c:strCache>
            </c:strRef>
          </c:tx>
          <c:spPr>
            <a:solidFill>
              <a:schemeClr val="accent1"/>
            </a:solidFill>
            <a:ln>
              <a:noFill/>
            </a:ln>
            <a:effectLst/>
          </c:spPr>
          <c:invertIfNegative val="0"/>
          <c:cat>
            <c:strRef>
              <c:f>Sheet2!$G$27:$G$35</c:f>
              <c:strCache>
                <c:ptCount val="8"/>
                <c:pt idx="0">
                  <c:v>0-9</c:v>
                </c:pt>
                <c:pt idx="1">
                  <c:v>10-19</c:v>
                </c:pt>
                <c:pt idx="2">
                  <c:v>20-29</c:v>
                </c:pt>
                <c:pt idx="3">
                  <c:v>30-39</c:v>
                </c:pt>
                <c:pt idx="4">
                  <c:v>40-49</c:v>
                </c:pt>
                <c:pt idx="5">
                  <c:v>50-59</c:v>
                </c:pt>
                <c:pt idx="6">
                  <c:v>60-69</c:v>
                </c:pt>
                <c:pt idx="7">
                  <c:v>70-79</c:v>
                </c:pt>
              </c:strCache>
            </c:strRef>
          </c:cat>
          <c:val>
            <c:numRef>
              <c:f>Sheet2!$H$27:$H$35</c:f>
              <c:numCache>
                <c:formatCode>General</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0-C398-49F3-8D17-6EF8F5A57D97}"/>
            </c:ext>
          </c:extLst>
        </c:ser>
        <c:dLbls>
          <c:showLegendKey val="0"/>
          <c:showVal val="0"/>
          <c:showCatName val="0"/>
          <c:showSerName val="0"/>
          <c:showPercent val="0"/>
          <c:showBubbleSize val="0"/>
        </c:dLbls>
        <c:gapWidth val="99"/>
        <c:overlap val="-27"/>
        <c:axId val="487476592"/>
        <c:axId val="487469392"/>
      </c:barChart>
      <c:catAx>
        <c:axId val="48747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87469392"/>
        <c:crosses val="autoZero"/>
        <c:auto val="1"/>
        <c:lblAlgn val="ctr"/>
        <c:lblOffset val="100"/>
        <c:noMultiLvlLbl val="0"/>
      </c:catAx>
      <c:valAx>
        <c:axId val="487469392"/>
        <c:scaling>
          <c:orientation val="minMax"/>
        </c:scaling>
        <c:delete val="1"/>
        <c:axPos val="l"/>
        <c:numFmt formatCode="General" sourceLinked="1"/>
        <c:majorTickMark val="none"/>
        <c:minorTickMark val="none"/>
        <c:tickLblPos val="nextTo"/>
        <c:crossAx val="48747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1.xlsx]Sheet2!PivotTable9</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Patients waittime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Sheet2!$H$39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57-4235-8071-06DE0F33DF0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57-4235-8071-06DE0F33DF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Sheet2!$G$40:$G$42</c:f>
              <c:strCache>
                <c:ptCount val="2"/>
                <c:pt idx="0">
                  <c:v>DELAY</c:v>
                </c:pt>
                <c:pt idx="1">
                  <c:v>ON TIME</c:v>
                </c:pt>
              </c:strCache>
            </c:strRef>
          </c:cat>
          <c:val>
            <c:numRef>
              <c:f>Sheet2!$H$40:$H$42</c:f>
              <c:numCache>
                <c:formatCode>General</c:formatCode>
                <c:ptCount val="2"/>
                <c:pt idx="0">
                  <c:v>591</c:v>
                </c:pt>
                <c:pt idx="1">
                  <c:v>408</c:v>
                </c:pt>
              </c:numCache>
            </c:numRef>
          </c:val>
          <c:extLst>
            <c:ext xmlns:c16="http://schemas.microsoft.com/office/drawing/2014/chart" uri="{C3380CC4-5D6E-409C-BE32-E72D297353CC}">
              <c16:uniqueId val="{00000000-B16B-4CEF-A48B-0A7CE4DA74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Patients by Gender</a:t>
            </a:r>
            <a:endParaRPr lang="en-US" b="1"/>
          </a:p>
        </c:rich>
      </c:tx>
      <c:layout>
        <c:manualLayout>
          <c:xMode val="edge"/>
          <c:yMode val="edge"/>
          <c:x val="0.1804398148148148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357624671916011"/>
          <c:y val="0.13930555555555554"/>
          <c:w val="0.49141666666666667"/>
          <c:h val="0.8190277777777778"/>
        </c:manualLayout>
      </c:layout>
      <c:doughnutChart>
        <c:varyColors val="1"/>
        <c:ser>
          <c:idx val="0"/>
          <c:order val="0"/>
          <c:tx>
            <c:strRef>
              <c:f>Sheet2!$G$54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1D-491B-A08A-83A5D267F4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1D-491B-A08A-83A5D267F477}"/>
              </c:ext>
            </c:extLst>
          </c:dPt>
          <c:cat>
            <c:strRef>
              <c:f>Sheet2!$F$55:$F$57</c:f>
              <c:strCache>
                <c:ptCount val="2"/>
                <c:pt idx="0">
                  <c:v>FEMALE</c:v>
                </c:pt>
                <c:pt idx="1">
                  <c:v>MALE</c:v>
                </c:pt>
              </c:strCache>
            </c:strRef>
          </c:cat>
          <c:val>
            <c:numRef>
              <c:f>Sheet2!$G$55:$G$57</c:f>
              <c:numCache>
                <c:formatCode>General</c:formatCode>
                <c:ptCount val="2"/>
                <c:pt idx="0">
                  <c:v>254</c:v>
                </c:pt>
                <c:pt idx="1">
                  <c:v>265</c:v>
                </c:pt>
              </c:numCache>
            </c:numRef>
          </c:val>
          <c:extLst>
            <c:ext xmlns:c16="http://schemas.microsoft.com/office/drawing/2014/chart" uri="{C3380CC4-5D6E-409C-BE32-E72D297353CC}">
              <c16:uniqueId val="{00000008-D202-488B-BB05-A7991856D3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6589506172839505"/>
          <c:y val="0.12868000874890639"/>
          <c:w val="0.25594530718382424"/>
          <c:h val="0.2122134733158355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1.xlsx]Sheet2!PivotTable9</c:name>
    <c:fmtId val="2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0"/>
              </a:srgbClr>
            </a:outerShdw>
          </a:effectLst>
        </c:spPr>
      </c:pivotFmt>
    </c:pivotFmts>
    <c:plotArea>
      <c:layout>
        <c:manualLayout>
          <c:layoutTarget val="inner"/>
          <c:xMode val="edge"/>
          <c:yMode val="edge"/>
          <c:x val="0.25472080689098625"/>
          <c:y val="1.1500990540786604E-2"/>
          <c:w val="0.79087991050299045"/>
          <c:h val="0.95160810432292797"/>
        </c:manualLayout>
      </c:layout>
      <c:pieChart>
        <c:varyColors val="1"/>
        <c:ser>
          <c:idx val="0"/>
          <c:order val="0"/>
          <c:tx>
            <c:strRef>
              <c:f>Sheet2!$H$39</c:f>
              <c:strCache>
                <c:ptCount val="1"/>
                <c:pt idx="0">
                  <c:v>Total</c:v>
                </c:pt>
              </c:strCache>
            </c:strRef>
          </c:tx>
          <c:spPr>
            <a:effectLst>
              <a:outerShdw blurRad="57150" dist="19050" dir="5400000" algn="ctr" rotWithShape="0">
                <a:srgbClr val="000000">
                  <a:alpha val="0"/>
                </a:srgbClr>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0"/>
                  </a:srgbClr>
                </a:outerShdw>
              </a:effectLst>
            </c:spPr>
            <c:extLst>
              <c:ext xmlns:c16="http://schemas.microsoft.com/office/drawing/2014/chart" uri="{C3380CC4-5D6E-409C-BE32-E72D297353CC}">
                <c16:uniqueId val="{00000001-03DB-4D4F-A4E4-9415017DE4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0"/>
                  </a:srgbClr>
                </a:outerShdw>
              </a:effectLst>
            </c:spPr>
            <c:extLst>
              <c:ext xmlns:c16="http://schemas.microsoft.com/office/drawing/2014/chart" uri="{C3380CC4-5D6E-409C-BE32-E72D297353CC}">
                <c16:uniqueId val="{00000003-03DB-4D4F-A4E4-9415017DE4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Sheet2!$G$40:$G$42</c:f>
              <c:strCache>
                <c:ptCount val="2"/>
                <c:pt idx="0">
                  <c:v>DELAY</c:v>
                </c:pt>
                <c:pt idx="1">
                  <c:v>ON TIME</c:v>
                </c:pt>
              </c:strCache>
            </c:strRef>
          </c:cat>
          <c:val>
            <c:numRef>
              <c:f>Sheet2!$H$40:$H$42</c:f>
              <c:numCache>
                <c:formatCode>General</c:formatCode>
                <c:ptCount val="2"/>
                <c:pt idx="0">
                  <c:v>591</c:v>
                </c:pt>
                <c:pt idx="1">
                  <c:v>408</c:v>
                </c:pt>
              </c:numCache>
            </c:numRef>
          </c:val>
          <c:extLst>
            <c:ext xmlns:c16="http://schemas.microsoft.com/office/drawing/2014/chart" uri="{C3380CC4-5D6E-409C-BE32-E72D297353CC}">
              <c16:uniqueId val="{00000004-03DB-4D4F-A4E4-9415017DE46C}"/>
            </c:ext>
          </c:extLst>
        </c:ser>
        <c:dLbls>
          <c:dLblPos val="inEnd"/>
          <c:showLegendKey val="0"/>
          <c:showVal val="0"/>
          <c:showCatName val="0"/>
          <c:showSerName val="0"/>
          <c:showPercent val="1"/>
          <c:showBubbleSize val="0"/>
          <c:showLeaderLines val="1"/>
        </c:dLbls>
        <c:firstSliceAng val="0"/>
      </c:pieChart>
      <c:spPr>
        <a:noFill/>
        <a:ln w="25400">
          <a:noFill/>
        </a:ln>
        <a:effectLst/>
      </c:spPr>
    </c:plotArea>
    <c:legend>
      <c:legendPos val="r"/>
      <c:layout>
        <c:manualLayout>
          <c:xMode val="edge"/>
          <c:yMode val="edge"/>
          <c:x val="9.7429383242592831E-4"/>
          <c:y val="3.4530839895013116E-3"/>
          <c:w val="0.31829377201624509"/>
          <c:h val="0.226253913891131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1.xlsx]Sheet2!PivotTable10</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chemeClr val="accent1"/>
          </a:solidFill>
          <a:ln w="19050">
            <a:noFill/>
          </a:ln>
          <a:effectLst/>
        </c:spPr>
      </c:pivotFmt>
    </c:pivotFmts>
    <c:plotArea>
      <c:layout>
        <c:manualLayout>
          <c:layoutTarget val="inner"/>
          <c:xMode val="edge"/>
          <c:yMode val="edge"/>
          <c:x val="0.26187642528290522"/>
          <c:y val="0.20883217272030666"/>
          <c:w val="0.71841400972419434"/>
          <c:h val="0.75884458026591228"/>
        </c:manualLayout>
      </c:layout>
      <c:doughnutChart>
        <c:varyColors val="1"/>
        <c:ser>
          <c:idx val="0"/>
          <c:order val="0"/>
          <c:tx>
            <c:strRef>
              <c:f>Sheet2!$G$54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98F-4F23-B45D-AB5F0FC6A4F0}"/>
              </c:ext>
            </c:extLst>
          </c:dPt>
          <c:dPt>
            <c:idx val="1"/>
            <c:bubble3D val="0"/>
            <c:spPr>
              <a:solidFill>
                <a:schemeClr val="accent2"/>
              </a:solidFill>
              <a:ln w="19050">
                <a:noFill/>
              </a:ln>
              <a:effectLst/>
            </c:spPr>
            <c:extLst>
              <c:ext xmlns:c16="http://schemas.microsoft.com/office/drawing/2014/chart" uri="{C3380CC4-5D6E-409C-BE32-E72D297353CC}">
                <c16:uniqueId val="{00000003-898F-4F23-B45D-AB5F0FC6A4F0}"/>
              </c:ext>
            </c:extLst>
          </c:dPt>
          <c:cat>
            <c:strRef>
              <c:f>Sheet2!$F$55:$F$57</c:f>
              <c:strCache>
                <c:ptCount val="2"/>
                <c:pt idx="0">
                  <c:v>FEMALE</c:v>
                </c:pt>
                <c:pt idx="1">
                  <c:v>MALE</c:v>
                </c:pt>
              </c:strCache>
            </c:strRef>
          </c:cat>
          <c:val>
            <c:numRef>
              <c:f>Sheet2!$G$55:$G$57</c:f>
              <c:numCache>
                <c:formatCode>General</c:formatCode>
                <c:ptCount val="2"/>
                <c:pt idx="0">
                  <c:v>254</c:v>
                </c:pt>
                <c:pt idx="1">
                  <c:v>265</c:v>
                </c:pt>
              </c:numCache>
            </c:numRef>
          </c:val>
          <c:extLst>
            <c:ext xmlns:c16="http://schemas.microsoft.com/office/drawing/2014/chart" uri="{C3380CC4-5D6E-409C-BE32-E72D297353CC}">
              <c16:uniqueId val="{00000008-8C02-45BD-BC22-283344B0D5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4.4748504797556043E-5"/>
          <c:y val="0.15657504474442732"/>
          <c:w val="0.26659834593718257"/>
          <c:h val="0.20333909150715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50800" dir="5400000" algn="ctr" rotWithShape="0">
              <a:srgbClr val="000000">
                <a:alpha val="99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62530896913357E-2"/>
          <c:y val="5.5679433581017311E-2"/>
          <c:w val="0.95880149812734083"/>
          <c:h val="0.71778844700690658"/>
        </c:manualLayout>
      </c:layout>
      <c:barChart>
        <c:barDir val="col"/>
        <c:grouping val="clustered"/>
        <c:varyColors val="0"/>
        <c:ser>
          <c:idx val="0"/>
          <c:order val="0"/>
          <c:tx>
            <c:strRef>
              <c:f>Sheet2!$H$26</c:f>
              <c:strCache>
                <c:ptCount val="1"/>
                <c:pt idx="0">
                  <c:v>Total</c:v>
                </c:pt>
              </c:strCache>
            </c:strRef>
          </c:tx>
          <c:spPr>
            <a:solidFill>
              <a:schemeClr val="accent1"/>
            </a:solidFill>
            <a:ln>
              <a:noFill/>
            </a:ln>
            <a:effectLst>
              <a:outerShdw blurRad="50800" dist="50800" dir="5400000" algn="ctr" rotWithShape="0">
                <a:srgbClr val="000000">
                  <a:alpha val="99000"/>
                </a:srgbClr>
              </a:outerShdw>
            </a:effectLst>
          </c:spPr>
          <c:invertIfNegative val="0"/>
          <c:cat>
            <c:strRef>
              <c:f>Sheet2!$G$27:$G$35</c:f>
              <c:strCache>
                <c:ptCount val="8"/>
                <c:pt idx="0">
                  <c:v>0-9</c:v>
                </c:pt>
                <c:pt idx="1">
                  <c:v>10-19</c:v>
                </c:pt>
                <c:pt idx="2">
                  <c:v>20-29</c:v>
                </c:pt>
                <c:pt idx="3">
                  <c:v>30-39</c:v>
                </c:pt>
                <c:pt idx="4">
                  <c:v>40-49</c:v>
                </c:pt>
                <c:pt idx="5">
                  <c:v>50-59</c:v>
                </c:pt>
                <c:pt idx="6">
                  <c:v>60-69</c:v>
                </c:pt>
                <c:pt idx="7">
                  <c:v>70-79</c:v>
                </c:pt>
              </c:strCache>
            </c:strRef>
          </c:cat>
          <c:val>
            <c:numRef>
              <c:f>Sheet2!$H$27:$H$35</c:f>
              <c:numCache>
                <c:formatCode>General</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0-91B7-4065-A368-742E1BF5E59F}"/>
            </c:ext>
          </c:extLst>
        </c:ser>
        <c:dLbls>
          <c:showLegendKey val="0"/>
          <c:showVal val="0"/>
          <c:showCatName val="0"/>
          <c:showSerName val="0"/>
          <c:showPercent val="0"/>
          <c:showBubbleSize val="0"/>
        </c:dLbls>
        <c:gapWidth val="123"/>
        <c:overlap val="-27"/>
        <c:axId val="2134757647"/>
        <c:axId val="2134758607"/>
      </c:barChart>
      <c:catAx>
        <c:axId val="21347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34758607"/>
        <c:crosses val="autoZero"/>
        <c:auto val="1"/>
        <c:lblAlgn val="ctr"/>
        <c:lblOffset val="100"/>
        <c:noMultiLvlLbl val="0"/>
      </c:catAx>
      <c:valAx>
        <c:axId val="2134758607"/>
        <c:scaling>
          <c:orientation val="minMax"/>
        </c:scaling>
        <c:delete val="1"/>
        <c:axPos val="l"/>
        <c:numFmt formatCode="General" sourceLinked="1"/>
        <c:majorTickMark val="none"/>
        <c:minorTickMark val="none"/>
        <c:tickLblPos val="nextTo"/>
        <c:crossAx val="21347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1.xlsx]Sheet2!PivotTable11</c:name>
    <c:fmtId val="17"/>
  </c:pivotSource>
  <c:chart>
    <c:autoTitleDeleted val="1"/>
    <c:pivotFmts>
      <c:pivotFmt>
        <c:idx val="0"/>
        <c:spPr>
          <a:solidFill>
            <a:schemeClr val="accent1"/>
          </a:solidFill>
          <a:ln w="762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762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3422688422689E-2"/>
          <c:y val="8.4235294117647061E-2"/>
          <c:w val="0.9431630670658725"/>
          <c:h val="0.62460484106153402"/>
        </c:manualLayout>
      </c:layout>
      <c:lineChart>
        <c:grouping val="standard"/>
        <c:varyColors val="0"/>
        <c:ser>
          <c:idx val="0"/>
          <c:order val="0"/>
          <c:tx>
            <c:strRef>
              <c:f>Sheet2!$G$65</c:f>
              <c:strCache>
                <c:ptCount val="1"/>
                <c:pt idx="0">
                  <c:v>Total</c:v>
                </c:pt>
              </c:strCache>
            </c:strRef>
          </c:tx>
          <c:spPr>
            <a:ln w="76200" cap="rnd">
              <a:solidFill>
                <a:schemeClr val="accent1"/>
              </a:solidFill>
              <a:round/>
            </a:ln>
            <a:effectLst/>
          </c:spPr>
          <c:marker>
            <c:symbol val="none"/>
          </c:marker>
          <c:cat>
            <c:strRef>
              <c:f>Sheet2!$F$66:$F$74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Sheet2!$G$66:$G$74</c:f>
              <c:numCache>
                <c:formatCode>General</c:formatCode>
                <c:ptCount val="8"/>
                <c:pt idx="0">
                  <c:v>11</c:v>
                </c:pt>
                <c:pt idx="1">
                  <c:v>8</c:v>
                </c:pt>
                <c:pt idx="2">
                  <c:v>102</c:v>
                </c:pt>
                <c:pt idx="3">
                  <c:v>16</c:v>
                </c:pt>
                <c:pt idx="4">
                  <c:v>313</c:v>
                </c:pt>
                <c:pt idx="5">
                  <c:v>51</c:v>
                </c:pt>
                <c:pt idx="6">
                  <c:v>15</c:v>
                </c:pt>
                <c:pt idx="7">
                  <c:v>3</c:v>
                </c:pt>
              </c:numCache>
            </c:numRef>
          </c:val>
          <c:smooth val="0"/>
          <c:extLst>
            <c:ext xmlns:c16="http://schemas.microsoft.com/office/drawing/2014/chart" uri="{C3380CC4-5D6E-409C-BE32-E72D297353CC}">
              <c16:uniqueId val="{00000003-32FA-49D1-927B-B925F0FF1519}"/>
            </c:ext>
          </c:extLst>
        </c:ser>
        <c:dLbls>
          <c:showLegendKey val="0"/>
          <c:showVal val="0"/>
          <c:showCatName val="0"/>
          <c:showSerName val="0"/>
          <c:showPercent val="0"/>
          <c:showBubbleSize val="0"/>
        </c:dLbls>
        <c:smooth val="0"/>
        <c:axId val="1220645616"/>
        <c:axId val="1220646096"/>
      </c:lineChart>
      <c:catAx>
        <c:axId val="12206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0646096"/>
        <c:crosses val="autoZero"/>
        <c:auto val="1"/>
        <c:lblAlgn val="ctr"/>
        <c:lblOffset val="100"/>
        <c:noMultiLvlLbl val="0"/>
      </c:catAx>
      <c:valAx>
        <c:axId val="1220646096"/>
        <c:scaling>
          <c:orientation val="minMax"/>
        </c:scaling>
        <c:delete val="1"/>
        <c:axPos val="l"/>
        <c:numFmt formatCode="General" sourceLinked="1"/>
        <c:majorTickMark val="none"/>
        <c:minorTickMark val="none"/>
        <c:tickLblPos val="nextTo"/>
        <c:crossAx val="122064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sv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16</xdr:col>
      <xdr:colOff>556260</xdr:colOff>
      <xdr:row>3</xdr:row>
      <xdr:rowOff>15240</xdr:rowOff>
    </xdr:from>
    <xdr:to>
      <xdr:col>18</xdr:col>
      <xdr:colOff>205740</xdr:colOff>
      <xdr:row>17</xdr:row>
      <xdr:rowOff>36195</xdr:rowOff>
    </xdr:to>
    <mc:AlternateContent xmlns:mc="http://schemas.openxmlformats.org/markup-compatibility/2006">
      <mc:Choice xmlns:a14="http://schemas.microsoft.com/office/drawing/2010/main" Requires="a14">
        <xdr:graphicFrame macro="">
          <xdr:nvGraphicFramePr>
            <xdr:cNvPr id="4" name="calender_table (Month)">
              <a:extLst>
                <a:ext uri="{FF2B5EF4-FFF2-40B4-BE49-F238E27FC236}">
                  <a16:creationId xmlns:a16="http://schemas.microsoft.com/office/drawing/2014/main" id="{20861320-077C-6627-00C6-F16C5881C69C}"/>
                </a:ext>
              </a:extLst>
            </xdr:cNvPr>
            <xdr:cNvGraphicFramePr/>
          </xdr:nvGraphicFramePr>
          <xdr:xfrm>
            <a:off x="0" y="0"/>
            <a:ext cx="0" cy="0"/>
          </xdr:xfrm>
          <a:graphic>
            <a:graphicData uri="http://schemas.microsoft.com/office/drawing/2010/slicer">
              <sle:slicer xmlns:sle="http://schemas.microsoft.com/office/drawing/2010/slicer" name="calender_table (Month)"/>
            </a:graphicData>
          </a:graphic>
        </xdr:graphicFrame>
      </mc:Choice>
      <mc:Fallback>
        <xdr:sp macro="" textlink="">
          <xdr:nvSpPr>
            <xdr:cNvPr id="0" name=""/>
            <xdr:cNvSpPr>
              <a:spLocks noTextEdit="1"/>
            </xdr:cNvSpPr>
          </xdr:nvSpPr>
          <xdr:spPr>
            <a:xfrm>
              <a:off x="16565880" y="563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99060</xdr:colOff>
      <xdr:row>18</xdr:row>
      <xdr:rowOff>175260</xdr:rowOff>
    </xdr:from>
    <xdr:to>
      <xdr:col>11</xdr:col>
      <xdr:colOff>1203960</xdr:colOff>
      <xdr:row>20</xdr:row>
      <xdr:rowOff>167640</xdr:rowOff>
    </xdr:to>
    <xdr:graphicFrame macro="">
      <xdr:nvGraphicFramePr>
        <xdr:cNvPr id="5" name="Chart 4">
          <a:extLst>
            <a:ext uri="{FF2B5EF4-FFF2-40B4-BE49-F238E27FC236}">
              <a16:creationId xmlns:a16="http://schemas.microsoft.com/office/drawing/2014/main" id="{9BDA9B07-60D5-8913-6AB6-E694A272F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22</xdr:row>
      <xdr:rowOff>49530</xdr:rowOff>
    </xdr:from>
    <xdr:to>
      <xdr:col>14</xdr:col>
      <xdr:colOff>609600</xdr:colOff>
      <xdr:row>37</xdr:row>
      <xdr:rowOff>49530</xdr:rowOff>
    </xdr:to>
    <xdr:graphicFrame macro="">
      <xdr:nvGraphicFramePr>
        <xdr:cNvPr id="7" name="Chart 6">
          <a:extLst>
            <a:ext uri="{FF2B5EF4-FFF2-40B4-BE49-F238E27FC236}">
              <a16:creationId xmlns:a16="http://schemas.microsoft.com/office/drawing/2014/main" id="{1EAC015B-A43E-F2A7-34F4-F939DC9AD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487680</xdr:colOff>
      <xdr:row>36</xdr:row>
      <xdr:rowOff>41910</xdr:rowOff>
    </xdr:from>
    <xdr:to>
      <xdr:col>10</xdr:col>
      <xdr:colOff>777240</xdr:colOff>
      <xdr:row>51</xdr:row>
      <xdr:rowOff>41910</xdr:rowOff>
    </xdr:to>
    <xdr:graphicFrame macro="">
      <xdr:nvGraphicFramePr>
        <xdr:cNvPr id="8" name="Chart 7">
          <a:extLst>
            <a:ext uri="{FF2B5EF4-FFF2-40B4-BE49-F238E27FC236}">
              <a16:creationId xmlns:a16="http://schemas.microsoft.com/office/drawing/2014/main" id="{C4F5A11F-0E3B-FBE9-0D0A-F52BEB176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967740</xdr:colOff>
      <xdr:row>52</xdr:row>
      <xdr:rowOff>19050</xdr:rowOff>
    </xdr:from>
    <xdr:to>
      <xdr:col>11</xdr:col>
      <xdr:colOff>1295400</xdr:colOff>
      <xdr:row>67</xdr:row>
      <xdr:rowOff>19050</xdr:rowOff>
    </xdr:to>
    <xdr:graphicFrame macro="">
      <xdr:nvGraphicFramePr>
        <xdr:cNvPr id="9" name="Chart 8">
          <a:extLst>
            <a:ext uri="{FF2B5EF4-FFF2-40B4-BE49-F238E27FC236}">
              <a16:creationId xmlns:a16="http://schemas.microsoft.com/office/drawing/2014/main" id="{EC7D593A-3C57-F4E0-D078-9023FD1C9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716280</xdr:colOff>
      <xdr:row>76</xdr:row>
      <xdr:rowOff>1</xdr:rowOff>
    </xdr:from>
    <xdr:to>
      <xdr:col>10</xdr:col>
      <xdr:colOff>236220</xdr:colOff>
      <xdr:row>82</xdr:row>
      <xdr:rowOff>45720</xdr:rowOff>
    </xdr:to>
    <mc:AlternateContent xmlns:mc="http://schemas.openxmlformats.org/markup-compatibility/2006" xmlns:a14="http://schemas.microsoft.com/office/drawing/2010/main">
      <mc:Choice Requires="a14">
        <xdr:graphicFrame macro="">
          <xdr:nvGraphicFramePr>
            <xdr:cNvPr id="11" name="calender_table (Year)">
              <a:extLst>
                <a:ext uri="{FF2B5EF4-FFF2-40B4-BE49-F238E27FC236}">
                  <a16:creationId xmlns:a16="http://schemas.microsoft.com/office/drawing/2014/main" id="{46144754-5C2F-CAD9-1B40-9A53657BB7C5}"/>
                </a:ext>
              </a:extLst>
            </xdr:cNvPr>
            <xdr:cNvGraphicFramePr/>
          </xdr:nvGraphicFramePr>
          <xdr:xfrm>
            <a:off x="0" y="0"/>
            <a:ext cx="0" cy="0"/>
          </xdr:xfrm>
          <a:graphic>
            <a:graphicData uri="http://schemas.microsoft.com/office/drawing/2010/slicer">
              <sle:slicer xmlns:sle="http://schemas.microsoft.com/office/drawing/2010/slicer" name="calender_table (Year)"/>
            </a:graphicData>
          </a:graphic>
        </xdr:graphicFrame>
      </mc:Choice>
      <mc:Fallback xmlns="">
        <xdr:sp macro="" textlink="">
          <xdr:nvSpPr>
            <xdr:cNvPr id="0" name=""/>
            <xdr:cNvSpPr>
              <a:spLocks noTextEdit="1"/>
            </xdr:cNvSpPr>
          </xdr:nvSpPr>
          <xdr:spPr>
            <a:xfrm>
              <a:off x="9471660" y="13898881"/>
              <a:ext cx="167640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295276</xdr:colOff>
      <xdr:row>0</xdr:row>
      <xdr:rowOff>66675</xdr:rowOff>
    </xdr:from>
    <xdr:to>
      <xdr:col>16</xdr:col>
      <xdr:colOff>333375</xdr:colOff>
      <xdr:row>5</xdr:row>
      <xdr:rowOff>146685</xdr:rowOff>
    </xdr:to>
    <xdr:sp macro="" textlink="">
      <xdr:nvSpPr>
        <xdr:cNvPr id="2" name="Rectangle: Rounded Corners 1">
          <a:extLst>
            <a:ext uri="{FF2B5EF4-FFF2-40B4-BE49-F238E27FC236}">
              <a16:creationId xmlns:a16="http://schemas.microsoft.com/office/drawing/2014/main" id="{F4D217B0-E2B3-781D-048A-3F49F7D0554C}"/>
            </a:ext>
          </a:extLst>
        </xdr:cNvPr>
        <xdr:cNvSpPr/>
      </xdr:nvSpPr>
      <xdr:spPr>
        <a:xfrm>
          <a:off x="295276" y="66675"/>
          <a:ext cx="9791699" cy="9848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8</xdr:col>
      <xdr:colOff>76200</xdr:colOff>
      <xdr:row>6</xdr:row>
      <xdr:rowOff>76199</xdr:rowOff>
    </xdr:from>
    <xdr:to>
      <xdr:col>11</xdr:col>
      <xdr:colOff>457199</xdr:colOff>
      <xdr:row>12</xdr:row>
      <xdr:rowOff>142874</xdr:rowOff>
    </xdr:to>
    <xdr:sp macro="" textlink="">
      <xdr:nvSpPr>
        <xdr:cNvPr id="5" name="Rectangle: Rounded Corners 4">
          <a:extLst>
            <a:ext uri="{FF2B5EF4-FFF2-40B4-BE49-F238E27FC236}">
              <a16:creationId xmlns:a16="http://schemas.microsoft.com/office/drawing/2014/main" id="{7E8F50C7-D652-BE9B-2931-2BF38A849494}"/>
            </a:ext>
          </a:extLst>
        </xdr:cNvPr>
        <xdr:cNvSpPr/>
      </xdr:nvSpPr>
      <xdr:spPr>
        <a:xfrm>
          <a:off x="4953000" y="1162049"/>
          <a:ext cx="2209799" cy="11525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editAs="absolute">
    <xdr:from>
      <xdr:col>0</xdr:col>
      <xdr:colOff>95250</xdr:colOff>
      <xdr:row>13</xdr:row>
      <xdr:rowOff>38100</xdr:rowOff>
    </xdr:from>
    <xdr:to>
      <xdr:col>11</xdr:col>
      <xdr:colOff>171450</xdr:colOff>
      <xdr:row>26</xdr:row>
      <xdr:rowOff>76201</xdr:rowOff>
    </xdr:to>
    <xdr:sp macro="" textlink="">
      <xdr:nvSpPr>
        <xdr:cNvPr id="9" name="Rectangle: Rounded Corners 8">
          <a:extLst>
            <a:ext uri="{FF2B5EF4-FFF2-40B4-BE49-F238E27FC236}">
              <a16:creationId xmlns:a16="http://schemas.microsoft.com/office/drawing/2014/main" id="{92EBA223-53C2-BB97-B1FC-33251E3DEA2D}"/>
            </a:ext>
          </a:extLst>
        </xdr:cNvPr>
        <xdr:cNvSpPr/>
      </xdr:nvSpPr>
      <xdr:spPr>
        <a:xfrm>
          <a:off x="95250" y="2390775"/>
          <a:ext cx="6781800" cy="2390776"/>
        </a:xfrm>
        <a:prstGeom prst="roundRect">
          <a:avLst>
            <a:gd name="adj" fmla="val 97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editAs="absolute">
    <xdr:from>
      <xdr:col>19</xdr:col>
      <xdr:colOff>304800</xdr:colOff>
      <xdr:row>0</xdr:row>
      <xdr:rowOff>38100</xdr:rowOff>
    </xdr:from>
    <xdr:to>
      <xdr:col>23</xdr:col>
      <xdr:colOff>13334</xdr:colOff>
      <xdr:row>6</xdr:row>
      <xdr:rowOff>0</xdr:rowOff>
    </xdr:to>
    <xdr:sp macro="" textlink="">
      <xdr:nvSpPr>
        <xdr:cNvPr id="10" name="Rectangle: Rounded Corners 9">
          <a:extLst>
            <a:ext uri="{FF2B5EF4-FFF2-40B4-BE49-F238E27FC236}">
              <a16:creationId xmlns:a16="http://schemas.microsoft.com/office/drawing/2014/main" id="{5019BBB5-E86E-97C1-6E4C-D8BF7636D445}"/>
            </a:ext>
          </a:extLst>
        </xdr:cNvPr>
        <xdr:cNvSpPr/>
      </xdr:nvSpPr>
      <xdr:spPr>
        <a:xfrm>
          <a:off x="11887200" y="38100"/>
          <a:ext cx="2146934" cy="10477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editAs="absolute">
    <xdr:from>
      <xdr:col>11</xdr:col>
      <xdr:colOff>571500</xdr:colOff>
      <xdr:row>6</xdr:row>
      <xdr:rowOff>85725</xdr:rowOff>
    </xdr:from>
    <xdr:to>
      <xdr:col>16</xdr:col>
      <xdr:colOff>247650</xdr:colOff>
      <xdr:row>19</xdr:row>
      <xdr:rowOff>66675</xdr:rowOff>
    </xdr:to>
    <xdr:sp macro="" textlink="">
      <xdr:nvSpPr>
        <xdr:cNvPr id="12" name="Rectangle: Rounded Corners 11">
          <a:extLst>
            <a:ext uri="{FF2B5EF4-FFF2-40B4-BE49-F238E27FC236}">
              <a16:creationId xmlns:a16="http://schemas.microsoft.com/office/drawing/2014/main" id="{8EC00991-BD51-EE83-49DC-4D4BD7328825}"/>
            </a:ext>
          </a:extLst>
        </xdr:cNvPr>
        <xdr:cNvSpPr/>
      </xdr:nvSpPr>
      <xdr:spPr>
        <a:xfrm>
          <a:off x="7277100" y="1171575"/>
          <a:ext cx="2724150" cy="2333625"/>
        </a:xfrm>
        <a:prstGeom prst="roundRect">
          <a:avLst>
            <a:gd name="adj" fmla="val 71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editAs="absolute">
    <xdr:from>
      <xdr:col>4</xdr:col>
      <xdr:colOff>195271</xdr:colOff>
      <xdr:row>6</xdr:row>
      <xdr:rowOff>66675</xdr:rowOff>
    </xdr:from>
    <xdr:to>
      <xdr:col>7</xdr:col>
      <xdr:colOff>552450</xdr:colOff>
      <xdr:row>12</xdr:row>
      <xdr:rowOff>142875</xdr:rowOff>
    </xdr:to>
    <xdr:sp macro="" textlink="">
      <xdr:nvSpPr>
        <xdr:cNvPr id="4" name="Rectangle: Rounded Corners 3">
          <a:extLst>
            <a:ext uri="{FF2B5EF4-FFF2-40B4-BE49-F238E27FC236}">
              <a16:creationId xmlns:a16="http://schemas.microsoft.com/office/drawing/2014/main" id="{F2ACCAE4-641F-EEF3-8FF1-EAB78C4AB0B7}"/>
            </a:ext>
          </a:extLst>
        </xdr:cNvPr>
        <xdr:cNvSpPr/>
      </xdr:nvSpPr>
      <xdr:spPr>
        <a:xfrm>
          <a:off x="2633671" y="1152525"/>
          <a:ext cx="2185979" cy="11620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612711</xdr:colOff>
      <xdr:row>19</xdr:row>
      <xdr:rowOff>142875</xdr:rowOff>
    </xdr:from>
    <xdr:to>
      <xdr:col>20</xdr:col>
      <xdr:colOff>323152</xdr:colOff>
      <xdr:row>32</xdr:row>
      <xdr:rowOff>55245</xdr:rowOff>
    </xdr:to>
    <xdr:sp macro="" textlink="">
      <xdr:nvSpPr>
        <xdr:cNvPr id="16" name="Rectangle: Rounded Corners 15">
          <a:extLst>
            <a:ext uri="{FF2B5EF4-FFF2-40B4-BE49-F238E27FC236}">
              <a16:creationId xmlns:a16="http://schemas.microsoft.com/office/drawing/2014/main" id="{81A0A118-30FB-2342-7DE8-7B058CB1D304}"/>
            </a:ext>
          </a:extLst>
        </xdr:cNvPr>
        <xdr:cNvSpPr/>
      </xdr:nvSpPr>
      <xdr:spPr>
        <a:xfrm>
          <a:off x="7359199" y="3674095"/>
          <a:ext cx="5230294" cy="2328467"/>
        </a:xfrm>
        <a:prstGeom prst="roundRect">
          <a:avLst>
            <a:gd name="adj" fmla="val 145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editAs="absolute">
    <xdr:from>
      <xdr:col>0</xdr:col>
      <xdr:colOff>89535</xdr:colOff>
      <xdr:row>27</xdr:row>
      <xdr:rowOff>47625</xdr:rowOff>
    </xdr:from>
    <xdr:to>
      <xdr:col>11</xdr:col>
      <xdr:colOff>190500</xdr:colOff>
      <xdr:row>32</xdr:row>
      <xdr:rowOff>19050</xdr:rowOff>
    </xdr:to>
    <xdr:sp macro="" textlink="">
      <xdr:nvSpPr>
        <xdr:cNvPr id="17" name="Rectangle: Rounded Corners 16">
          <a:extLst>
            <a:ext uri="{FF2B5EF4-FFF2-40B4-BE49-F238E27FC236}">
              <a16:creationId xmlns:a16="http://schemas.microsoft.com/office/drawing/2014/main" id="{B7B1CEB9-CC91-AEE8-9A1D-2B2BC07BD3AB}"/>
            </a:ext>
          </a:extLst>
        </xdr:cNvPr>
        <xdr:cNvSpPr/>
      </xdr:nvSpPr>
      <xdr:spPr>
        <a:xfrm>
          <a:off x="89535" y="4933950"/>
          <a:ext cx="6806565" cy="876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21</xdr:col>
      <xdr:colOff>0</xdr:colOff>
      <xdr:row>6</xdr:row>
      <xdr:rowOff>180974</xdr:rowOff>
    </xdr:from>
    <xdr:to>
      <xdr:col>22</xdr:col>
      <xdr:colOff>590551</xdr:colOff>
      <xdr:row>32</xdr:row>
      <xdr:rowOff>152399</xdr:rowOff>
    </xdr:to>
    <xdr:sp macro="" textlink="">
      <xdr:nvSpPr>
        <xdr:cNvPr id="18" name="Rectangle: Rounded Corners 17">
          <a:extLst>
            <a:ext uri="{FF2B5EF4-FFF2-40B4-BE49-F238E27FC236}">
              <a16:creationId xmlns:a16="http://schemas.microsoft.com/office/drawing/2014/main" id="{36AB9769-85A8-E2FF-2B31-BA6A873D8D12}"/>
            </a:ext>
          </a:extLst>
        </xdr:cNvPr>
        <xdr:cNvSpPr/>
      </xdr:nvSpPr>
      <xdr:spPr>
        <a:xfrm>
          <a:off x="12801600" y="1266824"/>
          <a:ext cx="1200151" cy="4676775"/>
        </a:xfrm>
        <a:prstGeom prst="roundRect">
          <a:avLst>
            <a:gd name="adj" fmla="val 23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editAs="absolute">
    <xdr:from>
      <xdr:col>16</xdr:col>
      <xdr:colOff>371475</xdr:colOff>
      <xdr:row>6</xdr:row>
      <xdr:rowOff>161925</xdr:rowOff>
    </xdr:from>
    <xdr:to>
      <xdr:col>20</xdr:col>
      <xdr:colOff>257175</xdr:colOff>
      <xdr:row>18</xdr:row>
      <xdr:rowOff>123825</xdr:rowOff>
    </xdr:to>
    <xdr:sp macro="" textlink="">
      <xdr:nvSpPr>
        <xdr:cNvPr id="19" name="Rectangle: Rounded Corners 18">
          <a:extLst>
            <a:ext uri="{FF2B5EF4-FFF2-40B4-BE49-F238E27FC236}">
              <a16:creationId xmlns:a16="http://schemas.microsoft.com/office/drawing/2014/main" id="{27A0DDC6-FB2A-6C05-5897-B9D909B1E6BC}"/>
            </a:ext>
          </a:extLst>
        </xdr:cNvPr>
        <xdr:cNvSpPr/>
      </xdr:nvSpPr>
      <xdr:spPr>
        <a:xfrm>
          <a:off x="10125075" y="1247775"/>
          <a:ext cx="2324100" cy="2133600"/>
        </a:xfrm>
        <a:prstGeom prst="roundRect">
          <a:avLst>
            <a:gd name="adj" fmla="val 112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ln>
              <a:noFill/>
            </a:ln>
          </a:endParaRPr>
        </a:p>
      </xdr:txBody>
    </xdr:sp>
    <xdr:clientData/>
  </xdr:twoCellAnchor>
  <xdr:twoCellAnchor>
    <xdr:from>
      <xdr:col>3</xdr:col>
      <xdr:colOff>361950</xdr:colOff>
      <xdr:row>0</xdr:row>
      <xdr:rowOff>61913</xdr:rowOff>
    </xdr:from>
    <xdr:to>
      <xdr:col>16</xdr:col>
      <xdr:colOff>180975</xdr:colOff>
      <xdr:row>3</xdr:row>
      <xdr:rowOff>123826</xdr:rowOff>
    </xdr:to>
    <xdr:sp macro="" textlink="">
      <xdr:nvSpPr>
        <xdr:cNvPr id="20" name="TextBox 19">
          <a:extLst>
            <a:ext uri="{FF2B5EF4-FFF2-40B4-BE49-F238E27FC236}">
              <a16:creationId xmlns:a16="http://schemas.microsoft.com/office/drawing/2014/main" id="{3AF5EF51-3407-E5E1-89EF-9713272E8783}"/>
            </a:ext>
          </a:extLst>
        </xdr:cNvPr>
        <xdr:cNvSpPr txBox="1"/>
      </xdr:nvSpPr>
      <xdr:spPr>
        <a:xfrm>
          <a:off x="2190750" y="61913"/>
          <a:ext cx="7743825" cy="6048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Hospital Emergency Room Dashboard</a:t>
          </a:r>
        </a:p>
      </xdr:txBody>
    </xdr:sp>
    <xdr:clientData/>
  </xdr:twoCellAnchor>
  <xdr:twoCellAnchor editAs="oneCell">
    <xdr:from>
      <xdr:col>0</xdr:col>
      <xdr:colOff>0</xdr:colOff>
      <xdr:row>0</xdr:row>
      <xdr:rowOff>0</xdr:rowOff>
    </xdr:from>
    <xdr:to>
      <xdr:col>5</xdr:col>
      <xdr:colOff>123824</xdr:colOff>
      <xdr:row>6</xdr:row>
      <xdr:rowOff>95250</xdr:rowOff>
    </xdr:to>
    <xdr:pic>
      <xdr:nvPicPr>
        <xdr:cNvPr id="22" name="Picture 21">
          <a:extLst>
            <a:ext uri="{FF2B5EF4-FFF2-40B4-BE49-F238E27FC236}">
              <a16:creationId xmlns:a16="http://schemas.microsoft.com/office/drawing/2014/main" id="{C9E7915C-FE06-3B01-6106-79D6AE92AC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71824" cy="1181100"/>
        </a:xfrm>
        <a:prstGeom prst="rect">
          <a:avLst/>
        </a:prstGeom>
      </xdr:spPr>
    </xdr:pic>
    <xdr:clientData/>
  </xdr:twoCellAnchor>
  <xdr:twoCellAnchor editAs="absolute">
    <xdr:from>
      <xdr:col>0</xdr:col>
      <xdr:colOff>271471</xdr:colOff>
      <xdr:row>6</xdr:row>
      <xdr:rowOff>67371</xdr:rowOff>
    </xdr:from>
    <xdr:to>
      <xdr:col>4</xdr:col>
      <xdr:colOff>19050</xdr:colOff>
      <xdr:row>12</xdr:row>
      <xdr:rowOff>76896</xdr:rowOff>
    </xdr:to>
    <xdr:sp macro="" textlink="">
      <xdr:nvSpPr>
        <xdr:cNvPr id="23" name="Rectangle: Rounded Corners 22">
          <a:extLst>
            <a:ext uri="{FF2B5EF4-FFF2-40B4-BE49-F238E27FC236}">
              <a16:creationId xmlns:a16="http://schemas.microsoft.com/office/drawing/2014/main" id="{91072634-1CE2-628D-84BB-05BBAA755E1A}"/>
            </a:ext>
          </a:extLst>
        </xdr:cNvPr>
        <xdr:cNvSpPr/>
      </xdr:nvSpPr>
      <xdr:spPr>
        <a:xfrm>
          <a:off x="271471" y="1182493"/>
          <a:ext cx="2200847" cy="112464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7</xdr:col>
      <xdr:colOff>390524</xdr:colOff>
      <xdr:row>3</xdr:row>
      <xdr:rowOff>33337</xdr:rowOff>
    </xdr:from>
    <xdr:to>
      <xdr:col>10</xdr:col>
      <xdr:colOff>228599</xdr:colOff>
      <xdr:row>4</xdr:row>
      <xdr:rowOff>123825</xdr:rowOff>
    </xdr:to>
    <xdr:sp macro="" textlink="">
      <xdr:nvSpPr>
        <xdr:cNvPr id="24" name="TextBox 23">
          <a:extLst>
            <a:ext uri="{FF2B5EF4-FFF2-40B4-BE49-F238E27FC236}">
              <a16:creationId xmlns:a16="http://schemas.microsoft.com/office/drawing/2014/main" id="{BA9CE4F5-BD22-C138-C2B7-D390B2A0FAEE}"/>
            </a:ext>
          </a:extLst>
        </xdr:cNvPr>
        <xdr:cNvSpPr txBox="1"/>
      </xdr:nvSpPr>
      <xdr:spPr>
        <a:xfrm>
          <a:off x="4657724" y="576262"/>
          <a:ext cx="1666875" cy="271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65000"/>
                  <a:lumOff val="35000"/>
                </a:schemeClr>
              </a:solidFill>
            </a:rPr>
            <a:t>MONTHLY REPORT</a:t>
          </a:r>
        </a:p>
      </xdr:txBody>
    </xdr:sp>
    <xdr:clientData/>
  </xdr:twoCellAnchor>
  <xdr:twoCellAnchor>
    <xdr:from>
      <xdr:col>0</xdr:col>
      <xdr:colOff>447675</xdr:colOff>
      <xdr:row>7</xdr:row>
      <xdr:rowOff>52388</xdr:rowOff>
    </xdr:from>
    <xdr:to>
      <xdr:col>3</xdr:col>
      <xdr:colOff>114300</xdr:colOff>
      <xdr:row>9</xdr:row>
      <xdr:rowOff>0</xdr:rowOff>
    </xdr:to>
    <xdr:sp macro="" textlink="">
      <xdr:nvSpPr>
        <xdr:cNvPr id="29" name="TextBox 28">
          <a:extLst>
            <a:ext uri="{FF2B5EF4-FFF2-40B4-BE49-F238E27FC236}">
              <a16:creationId xmlns:a16="http://schemas.microsoft.com/office/drawing/2014/main" id="{FE331564-9EA5-C80A-385F-AEDA1724ED41}"/>
            </a:ext>
          </a:extLst>
        </xdr:cNvPr>
        <xdr:cNvSpPr txBox="1"/>
      </xdr:nvSpPr>
      <xdr:spPr>
        <a:xfrm>
          <a:off x="447675" y="1319213"/>
          <a:ext cx="1495425" cy="3095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NO. OF PATIENTS</a:t>
          </a:r>
        </a:p>
      </xdr:txBody>
    </xdr:sp>
    <xdr:clientData/>
  </xdr:twoCellAnchor>
  <xdr:twoCellAnchor>
    <xdr:from>
      <xdr:col>1</xdr:col>
      <xdr:colOff>247651</xdr:colOff>
      <xdr:row>8</xdr:row>
      <xdr:rowOff>152400</xdr:rowOff>
    </xdr:from>
    <xdr:to>
      <xdr:col>2</xdr:col>
      <xdr:colOff>381000</xdr:colOff>
      <xdr:row>10</xdr:row>
      <xdr:rowOff>123825</xdr:rowOff>
    </xdr:to>
    <xdr:sp macro="" textlink="Sheet2!B4">
      <xdr:nvSpPr>
        <xdr:cNvPr id="30" name="TextBox 29">
          <a:extLst>
            <a:ext uri="{FF2B5EF4-FFF2-40B4-BE49-F238E27FC236}">
              <a16:creationId xmlns:a16="http://schemas.microsoft.com/office/drawing/2014/main" id="{C74A38F7-2EAE-BA42-A2AF-48EFFF969093}"/>
            </a:ext>
          </a:extLst>
        </xdr:cNvPr>
        <xdr:cNvSpPr txBox="1"/>
      </xdr:nvSpPr>
      <xdr:spPr>
        <a:xfrm>
          <a:off x="857251" y="1600200"/>
          <a:ext cx="742949" cy="3333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D9CBC8-1EB8-4E15-BB53-2F41C4939093}" type="TxLink">
            <a:rPr lang="en-US" sz="1800" b="0" i="0" u="none" strike="noStrike">
              <a:solidFill>
                <a:srgbClr val="000000"/>
              </a:solidFill>
              <a:latin typeface="Aptos Narrow"/>
            </a:rPr>
            <a:pPr/>
            <a:t>519</a:t>
          </a:fld>
          <a:endParaRPr lang="en-US" sz="1800" b="1"/>
        </a:p>
      </xdr:txBody>
    </xdr:sp>
    <xdr:clientData/>
  </xdr:twoCellAnchor>
  <xdr:twoCellAnchor>
    <xdr:from>
      <xdr:col>4</xdr:col>
      <xdr:colOff>223846</xdr:colOff>
      <xdr:row>7</xdr:row>
      <xdr:rowOff>28575</xdr:rowOff>
    </xdr:from>
    <xdr:to>
      <xdr:col>7</xdr:col>
      <xdr:colOff>133350</xdr:colOff>
      <xdr:row>9</xdr:row>
      <xdr:rowOff>28575</xdr:rowOff>
    </xdr:to>
    <xdr:sp macro="" textlink="">
      <xdr:nvSpPr>
        <xdr:cNvPr id="32" name="TextBox 31">
          <a:extLst>
            <a:ext uri="{FF2B5EF4-FFF2-40B4-BE49-F238E27FC236}">
              <a16:creationId xmlns:a16="http://schemas.microsoft.com/office/drawing/2014/main" id="{1345F532-2638-40C9-A0D5-2DD81189C383}"/>
            </a:ext>
          </a:extLst>
        </xdr:cNvPr>
        <xdr:cNvSpPr txBox="1"/>
      </xdr:nvSpPr>
      <xdr:spPr>
        <a:xfrm>
          <a:off x="2662246" y="1295400"/>
          <a:ext cx="1738304"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Average</a:t>
          </a:r>
          <a:r>
            <a:rPr lang="en-IN" sz="1600" b="1" baseline="0"/>
            <a:t> Wait time</a:t>
          </a:r>
          <a:endParaRPr lang="en-IN" sz="1600" b="1"/>
        </a:p>
      </xdr:txBody>
    </xdr:sp>
    <xdr:clientData/>
  </xdr:twoCellAnchor>
  <xdr:twoCellAnchor>
    <xdr:from>
      <xdr:col>5</xdr:col>
      <xdr:colOff>71446</xdr:colOff>
      <xdr:row>8</xdr:row>
      <xdr:rowOff>123825</xdr:rowOff>
    </xdr:from>
    <xdr:to>
      <xdr:col>6</xdr:col>
      <xdr:colOff>247650</xdr:colOff>
      <xdr:row>10</xdr:row>
      <xdr:rowOff>133350</xdr:rowOff>
    </xdr:to>
    <xdr:sp macro="" textlink="Sheet2!B7">
      <xdr:nvSpPr>
        <xdr:cNvPr id="33" name="TextBox 32">
          <a:extLst>
            <a:ext uri="{FF2B5EF4-FFF2-40B4-BE49-F238E27FC236}">
              <a16:creationId xmlns:a16="http://schemas.microsoft.com/office/drawing/2014/main" id="{A810EF7E-403D-4E89-82A7-C7E7CFEE9E81}"/>
            </a:ext>
          </a:extLst>
        </xdr:cNvPr>
        <xdr:cNvSpPr txBox="1"/>
      </xdr:nvSpPr>
      <xdr:spPr>
        <a:xfrm>
          <a:off x="3119446" y="1571625"/>
          <a:ext cx="785804" cy="3714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5FE92-0D79-4E49-B057-A0510C3AB791}" type="TxLink">
            <a:rPr lang="en-US" sz="1800" b="0" i="0" u="none" strike="noStrike">
              <a:solidFill>
                <a:srgbClr val="000000"/>
              </a:solidFill>
              <a:latin typeface="Aptos Narrow"/>
            </a:rPr>
            <a:pPr/>
            <a:t>35.80924855</a:t>
          </a:fld>
          <a:endParaRPr lang="en-US" sz="1800" b="1"/>
        </a:p>
      </xdr:txBody>
    </xdr:sp>
    <xdr:clientData/>
  </xdr:twoCellAnchor>
  <xdr:twoCellAnchor>
    <xdr:from>
      <xdr:col>8</xdr:col>
      <xdr:colOff>133351</xdr:colOff>
      <xdr:row>6</xdr:row>
      <xdr:rowOff>142874</xdr:rowOff>
    </xdr:from>
    <xdr:to>
      <xdr:col>10</xdr:col>
      <xdr:colOff>533401</xdr:colOff>
      <xdr:row>10</xdr:row>
      <xdr:rowOff>114299</xdr:rowOff>
    </xdr:to>
    <xdr:sp macro="" textlink="">
      <xdr:nvSpPr>
        <xdr:cNvPr id="34" name="TextBox 33">
          <a:extLst>
            <a:ext uri="{FF2B5EF4-FFF2-40B4-BE49-F238E27FC236}">
              <a16:creationId xmlns:a16="http://schemas.microsoft.com/office/drawing/2014/main" id="{15C3055E-AEC2-4768-AC4F-A111597D68A0}"/>
            </a:ext>
          </a:extLst>
        </xdr:cNvPr>
        <xdr:cNvSpPr txBox="1"/>
      </xdr:nvSpPr>
      <xdr:spPr>
        <a:xfrm>
          <a:off x="5010151" y="1228724"/>
          <a:ext cx="1619250" cy="695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Patient Satisfaction Score</a:t>
          </a:r>
        </a:p>
      </xdr:txBody>
    </xdr:sp>
    <xdr:clientData/>
  </xdr:twoCellAnchor>
  <xdr:twoCellAnchor>
    <xdr:from>
      <xdr:col>9</xdr:col>
      <xdr:colOff>28575</xdr:colOff>
      <xdr:row>9</xdr:row>
      <xdr:rowOff>38101</xdr:rowOff>
    </xdr:from>
    <xdr:to>
      <xdr:col>10</xdr:col>
      <xdr:colOff>161925</xdr:colOff>
      <xdr:row>11</xdr:row>
      <xdr:rowOff>90487</xdr:rowOff>
    </xdr:to>
    <xdr:sp macro="" textlink="Sheet2!B10">
      <xdr:nvSpPr>
        <xdr:cNvPr id="35" name="TextBox 34">
          <a:extLst>
            <a:ext uri="{FF2B5EF4-FFF2-40B4-BE49-F238E27FC236}">
              <a16:creationId xmlns:a16="http://schemas.microsoft.com/office/drawing/2014/main" id="{B629AC1F-F6BB-4DA2-A0EA-656BAAF5732F}"/>
            </a:ext>
          </a:extLst>
        </xdr:cNvPr>
        <xdr:cNvSpPr txBox="1"/>
      </xdr:nvSpPr>
      <xdr:spPr>
        <a:xfrm>
          <a:off x="5514975" y="1666876"/>
          <a:ext cx="742950" cy="41433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E39A59-62B5-4DB8-972F-9409A83672A4}" type="TxLink">
            <a:rPr lang="en-US" sz="1600" b="0" i="0" u="none" strike="noStrike">
              <a:solidFill>
                <a:srgbClr val="000000"/>
              </a:solidFill>
              <a:latin typeface="Aptos Narrow"/>
            </a:rPr>
            <a:pPr/>
            <a:t>813</a:t>
          </a:fld>
          <a:endParaRPr lang="en-US" sz="1600" b="1"/>
        </a:p>
      </xdr:txBody>
    </xdr:sp>
    <xdr:clientData/>
  </xdr:twoCellAnchor>
  <xdr:twoCellAnchor editAs="oneCell">
    <xdr:from>
      <xdr:col>2</xdr:col>
      <xdr:colOff>606347</xdr:colOff>
      <xdr:row>6</xdr:row>
      <xdr:rowOff>140320</xdr:rowOff>
    </xdr:from>
    <xdr:to>
      <xdr:col>4</xdr:col>
      <xdr:colOff>40655</xdr:colOff>
      <xdr:row>10</xdr:row>
      <xdr:rowOff>68766</xdr:rowOff>
    </xdr:to>
    <xdr:pic>
      <xdr:nvPicPr>
        <xdr:cNvPr id="37" name="Graphic 36" descr="Female Profile with solid fill">
          <a:extLst>
            <a:ext uri="{FF2B5EF4-FFF2-40B4-BE49-F238E27FC236}">
              <a16:creationId xmlns:a16="http://schemas.microsoft.com/office/drawing/2014/main" id="{EF69B340-FEB6-752A-AD31-EB7246B5AE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32981" y="1255442"/>
          <a:ext cx="660942" cy="671861"/>
        </a:xfrm>
        <a:prstGeom prst="rect">
          <a:avLst/>
        </a:prstGeom>
      </xdr:spPr>
    </xdr:pic>
    <xdr:clientData/>
  </xdr:twoCellAnchor>
  <xdr:twoCellAnchor editAs="oneCell">
    <xdr:from>
      <xdr:col>7</xdr:col>
      <xdr:colOff>28577</xdr:colOff>
      <xdr:row>6</xdr:row>
      <xdr:rowOff>85727</xdr:rowOff>
    </xdr:from>
    <xdr:to>
      <xdr:col>7</xdr:col>
      <xdr:colOff>552451</xdr:colOff>
      <xdr:row>9</xdr:row>
      <xdr:rowOff>66676</xdr:rowOff>
    </xdr:to>
    <xdr:pic>
      <xdr:nvPicPr>
        <xdr:cNvPr id="39" name="Graphic 38" descr="Hourglass Finished with solid fill">
          <a:extLst>
            <a:ext uri="{FF2B5EF4-FFF2-40B4-BE49-F238E27FC236}">
              <a16:creationId xmlns:a16="http://schemas.microsoft.com/office/drawing/2014/main" id="{C02DA0FE-8856-2E1F-7ABA-3AD7B09FE21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95777" y="1171577"/>
          <a:ext cx="523874" cy="523874"/>
        </a:xfrm>
        <a:prstGeom prst="rect">
          <a:avLst/>
        </a:prstGeom>
      </xdr:spPr>
    </xdr:pic>
    <xdr:clientData/>
  </xdr:twoCellAnchor>
  <xdr:twoCellAnchor editAs="oneCell">
    <xdr:from>
      <xdr:col>10</xdr:col>
      <xdr:colOff>466725</xdr:colOff>
      <xdr:row>6</xdr:row>
      <xdr:rowOff>47625</xdr:rowOff>
    </xdr:from>
    <xdr:to>
      <xdr:col>11</xdr:col>
      <xdr:colOff>495300</xdr:colOff>
      <xdr:row>9</xdr:row>
      <xdr:rowOff>142875</xdr:rowOff>
    </xdr:to>
    <xdr:pic>
      <xdr:nvPicPr>
        <xdr:cNvPr id="41" name="Graphic 40" descr="Star with solid fill">
          <a:extLst>
            <a:ext uri="{FF2B5EF4-FFF2-40B4-BE49-F238E27FC236}">
              <a16:creationId xmlns:a16="http://schemas.microsoft.com/office/drawing/2014/main" id="{6489B65E-0BC7-C9CE-6F21-E449B39ACCC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62725" y="1133475"/>
          <a:ext cx="638175" cy="638175"/>
        </a:xfrm>
        <a:prstGeom prst="rect">
          <a:avLst/>
        </a:prstGeom>
      </xdr:spPr>
    </xdr:pic>
    <xdr:clientData/>
  </xdr:twoCellAnchor>
  <xdr:twoCellAnchor editAs="oneCell">
    <xdr:from>
      <xdr:col>21</xdr:col>
      <xdr:colOff>0</xdr:colOff>
      <xdr:row>6</xdr:row>
      <xdr:rowOff>161925</xdr:rowOff>
    </xdr:from>
    <xdr:to>
      <xdr:col>23</xdr:col>
      <xdr:colOff>4800</xdr:colOff>
      <xdr:row>32</xdr:row>
      <xdr:rowOff>136575</xdr:rowOff>
    </xdr:to>
    <mc:AlternateContent xmlns:mc="http://schemas.openxmlformats.org/markup-compatibility/2006" xmlns:a14="http://schemas.microsoft.com/office/drawing/2010/main">
      <mc:Choice Requires="a14">
        <xdr:graphicFrame macro="">
          <xdr:nvGraphicFramePr>
            <xdr:cNvPr id="42" name="calender_table (Month) 1">
              <a:extLst>
                <a:ext uri="{FF2B5EF4-FFF2-40B4-BE49-F238E27FC236}">
                  <a16:creationId xmlns:a16="http://schemas.microsoft.com/office/drawing/2014/main" id="{8B41371E-6E76-40D9-BE86-4BE316289EAF}"/>
                </a:ext>
              </a:extLst>
            </xdr:cNvPr>
            <xdr:cNvGraphicFramePr/>
          </xdr:nvGraphicFramePr>
          <xdr:xfrm>
            <a:off x="0" y="0"/>
            <a:ext cx="0" cy="0"/>
          </xdr:xfrm>
          <a:graphic>
            <a:graphicData uri="http://schemas.microsoft.com/office/drawing/2010/slicer">
              <sle:slicer xmlns:sle="http://schemas.microsoft.com/office/drawing/2010/slicer" name="calender_table (Month) 1"/>
            </a:graphicData>
          </a:graphic>
        </xdr:graphicFrame>
      </mc:Choice>
      <mc:Fallback xmlns="">
        <xdr:sp macro="" textlink="">
          <xdr:nvSpPr>
            <xdr:cNvPr id="0" name=""/>
            <xdr:cNvSpPr>
              <a:spLocks noTextEdit="1"/>
            </xdr:cNvSpPr>
          </xdr:nvSpPr>
          <xdr:spPr>
            <a:xfrm>
              <a:off x="12879659" y="1277047"/>
              <a:ext cx="1231434" cy="4806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85725</xdr:colOff>
          <xdr:row>27</xdr:row>
          <xdr:rowOff>38100</xdr:rowOff>
        </xdr:from>
        <xdr:to>
          <xdr:col>11</xdr:col>
          <xdr:colOff>171450</xdr:colOff>
          <xdr:row>32</xdr:row>
          <xdr:rowOff>57150</xdr:rowOff>
        </xdr:to>
        <xdr:pic>
          <xdr:nvPicPr>
            <xdr:cNvPr id="14" name="Picture 13">
              <a:extLst>
                <a:ext uri="{FF2B5EF4-FFF2-40B4-BE49-F238E27FC236}">
                  <a16:creationId xmlns:a16="http://schemas.microsoft.com/office/drawing/2014/main" id="{B45120DB-E725-DE5C-3DDD-44BB3D1EC297}"/>
                </a:ext>
              </a:extLst>
            </xdr:cNvPr>
            <xdr:cNvPicPr>
              <a:picLocks noChangeAspect="1" noChangeArrowheads="1"/>
              <a:extLst>
                <a:ext uri="{84589F7E-364E-4C9E-8A38-B11213B215E9}">
                  <a14:cameraTool cellRange="Sheet2!$I$19:$L$21" spid="_x0000_s1043"/>
                </a:ext>
              </a:extLst>
            </xdr:cNvPicPr>
          </xdr:nvPicPr>
          <xdr:blipFill>
            <a:blip xmlns:r="http://schemas.openxmlformats.org/officeDocument/2006/relationships" r:embed="rId8"/>
            <a:srcRect/>
            <a:stretch>
              <a:fillRect/>
            </a:stretch>
          </xdr:blipFill>
          <xdr:spPr bwMode="auto">
            <a:xfrm>
              <a:off x="85725" y="4924425"/>
              <a:ext cx="6791325" cy="9239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11</xdr:col>
      <xdr:colOff>581027</xdr:colOff>
      <xdr:row>9</xdr:row>
      <xdr:rowOff>38100</xdr:rowOff>
    </xdr:from>
    <xdr:to>
      <xdr:col>16</xdr:col>
      <xdr:colOff>219075</xdr:colOff>
      <xdr:row>19</xdr:row>
      <xdr:rowOff>57150</xdr:rowOff>
    </xdr:to>
    <xdr:graphicFrame macro="">
      <xdr:nvGraphicFramePr>
        <xdr:cNvPr id="48" name="Chart 47">
          <a:extLst>
            <a:ext uri="{FF2B5EF4-FFF2-40B4-BE49-F238E27FC236}">
              <a16:creationId xmlns:a16="http://schemas.microsoft.com/office/drawing/2014/main" id="{22B9B28C-08AB-4B92-AA53-B32CE9D16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428624</xdr:colOff>
      <xdr:row>6</xdr:row>
      <xdr:rowOff>166687</xdr:rowOff>
    </xdr:from>
    <xdr:to>
      <xdr:col>16</xdr:col>
      <xdr:colOff>38099</xdr:colOff>
      <xdr:row>9</xdr:row>
      <xdr:rowOff>9525</xdr:rowOff>
    </xdr:to>
    <xdr:sp macro="" textlink="">
      <xdr:nvSpPr>
        <xdr:cNvPr id="51" name="TextBox 50">
          <a:extLst>
            <a:ext uri="{FF2B5EF4-FFF2-40B4-BE49-F238E27FC236}">
              <a16:creationId xmlns:a16="http://schemas.microsoft.com/office/drawing/2014/main" id="{3AEBF9DF-35EA-DF34-BEC2-5CE2FDFECFB9}"/>
            </a:ext>
          </a:extLst>
        </xdr:cNvPr>
        <xdr:cNvSpPr txBox="1"/>
      </xdr:nvSpPr>
      <xdr:spPr>
        <a:xfrm>
          <a:off x="7743824" y="1252537"/>
          <a:ext cx="2047875" cy="3857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Patients wait time</a:t>
          </a:r>
        </a:p>
      </xdr:txBody>
    </xdr:sp>
    <xdr:clientData/>
  </xdr:twoCellAnchor>
  <xdr:twoCellAnchor>
    <xdr:from>
      <xdr:col>16</xdr:col>
      <xdr:colOff>381001</xdr:colOff>
      <xdr:row>6</xdr:row>
      <xdr:rowOff>95251</xdr:rowOff>
    </xdr:from>
    <xdr:to>
      <xdr:col>20</xdr:col>
      <xdr:colOff>266701</xdr:colOff>
      <xdr:row>18</xdr:row>
      <xdr:rowOff>123825</xdr:rowOff>
    </xdr:to>
    <xdr:graphicFrame macro="">
      <xdr:nvGraphicFramePr>
        <xdr:cNvPr id="52" name="Chart 51">
          <a:extLst>
            <a:ext uri="{FF2B5EF4-FFF2-40B4-BE49-F238E27FC236}">
              <a16:creationId xmlns:a16="http://schemas.microsoft.com/office/drawing/2014/main" id="{1D814B9B-691D-4918-8DE6-29BC190E9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523874</xdr:colOff>
      <xdr:row>7</xdr:row>
      <xdr:rowOff>19050</xdr:rowOff>
    </xdr:from>
    <xdr:to>
      <xdr:col>20</xdr:col>
      <xdr:colOff>171450</xdr:colOff>
      <xdr:row>9</xdr:row>
      <xdr:rowOff>57150</xdr:rowOff>
    </xdr:to>
    <xdr:sp macro="" textlink="">
      <xdr:nvSpPr>
        <xdr:cNvPr id="53" name="TextBox 52">
          <a:extLst>
            <a:ext uri="{FF2B5EF4-FFF2-40B4-BE49-F238E27FC236}">
              <a16:creationId xmlns:a16="http://schemas.microsoft.com/office/drawing/2014/main" id="{C9D7E044-0E82-DBE6-E114-D47F614F74A8}"/>
            </a:ext>
          </a:extLst>
        </xdr:cNvPr>
        <xdr:cNvSpPr txBox="1"/>
      </xdr:nvSpPr>
      <xdr:spPr>
        <a:xfrm>
          <a:off x="10277474" y="1285875"/>
          <a:ext cx="208597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 </a:t>
          </a:r>
          <a:r>
            <a:rPr lang="en-IN" sz="1800" b="1" baseline="0"/>
            <a:t>Patients By Gender</a:t>
          </a:r>
          <a:endParaRPr lang="en-IN" sz="1800" b="1"/>
        </a:p>
      </xdr:txBody>
    </xdr:sp>
    <xdr:clientData/>
  </xdr:twoCellAnchor>
  <xdr:twoCellAnchor>
    <xdr:from>
      <xdr:col>12</xdr:col>
      <xdr:colOff>123825</xdr:colOff>
      <xdr:row>20</xdr:row>
      <xdr:rowOff>85724</xdr:rowOff>
    </xdr:from>
    <xdr:to>
      <xdr:col>18</xdr:col>
      <xdr:colOff>523875</xdr:colOff>
      <xdr:row>24</xdr:row>
      <xdr:rowOff>0</xdr:rowOff>
    </xdr:to>
    <xdr:sp macro="" textlink="">
      <xdr:nvSpPr>
        <xdr:cNvPr id="55" name="TextBox 54">
          <a:extLst>
            <a:ext uri="{FF2B5EF4-FFF2-40B4-BE49-F238E27FC236}">
              <a16:creationId xmlns:a16="http://schemas.microsoft.com/office/drawing/2014/main" id="{C5940073-6035-0DF7-3921-3272A49F68B5}"/>
            </a:ext>
          </a:extLst>
        </xdr:cNvPr>
        <xdr:cNvSpPr txBox="1"/>
      </xdr:nvSpPr>
      <xdr:spPr>
        <a:xfrm>
          <a:off x="7439025" y="3705224"/>
          <a:ext cx="4057650" cy="638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No. of patients by department</a:t>
          </a:r>
          <a:r>
            <a:rPr lang="en-IN" sz="1600" b="1" baseline="0"/>
            <a:t> referral</a:t>
          </a:r>
          <a:endParaRPr lang="en-IN" sz="1600" b="1"/>
        </a:p>
      </xdr:txBody>
    </xdr:sp>
    <xdr:clientData/>
  </xdr:twoCellAnchor>
  <xdr:twoCellAnchor editAs="oneCell">
    <xdr:from>
      <xdr:col>19</xdr:col>
      <xdr:colOff>276225</xdr:colOff>
      <xdr:row>0</xdr:row>
      <xdr:rowOff>38099</xdr:rowOff>
    </xdr:from>
    <xdr:to>
      <xdr:col>23</xdr:col>
      <xdr:colOff>19050</xdr:colOff>
      <xdr:row>6</xdr:row>
      <xdr:rowOff>66674</xdr:rowOff>
    </xdr:to>
    <mc:AlternateContent xmlns:mc="http://schemas.openxmlformats.org/markup-compatibility/2006" xmlns:a14="http://schemas.microsoft.com/office/drawing/2010/main">
      <mc:Choice Requires="a14">
        <xdr:graphicFrame macro="">
          <xdr:nvGraphicFramePr>
            <xdr:cNvPr id="56" name="calender_table (Year) 1">
              <a:extLst>
                <a:ext uri="{FF2B5EF4-FFF2-40B4-BE49-F238E27FC236}">
                  <a16:creationId xmlns:a16="http://schemas.microsoft.com/office/drawing/2014/main" id="{135CAFEC-3AEB-4584-B60C-F954BF9FBFF4}"/>
                </a:ext>
              </a:extLst>
            </xdr:cNvPr>
            <xdr:cNvGraphicFramePr/>
          </xdr:nvGraphicFramePr>
          <xdr:xfrm>
            <a:off x="0" y="0"/>
            <a:ext cx="0" cy="0"/>
          </xdr:xfrm>
          <a:graphic>
            <a:graphicData uri="http://schemas.microsoft.com/office/drawing/2010/slicer">
              <sle:slicer xmlns:sle="http://schemas.microsoft.com/office/drawing/2010/slicer" name="calender_table (Year) 1"/>
            </a:graphicData>
          </a:graphic>
        </xdr:graphicFrame>
      </mc:Choice>
      <mc:Fallback xmlns="">
        <xdr:sp macro="" textlink="">
          <xdr:nvSpPr>
            <xdr:cNvPr id="0" name=""/>
            <xdr:cNvSpPr>
              <a:spLocks noTextEdit="1"/>
            </xdr:cNvSpPr>
          </xdr:nvSpPr>
          <xdr:spPr>
            <a:xfrm>
              <a:off x="11929249" y="38099"/>
              <a:ext cx="2196094" cy="1143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105007</xdr:colOff>
      <xdr:row>12</xdr:row>
      <xdr:rowOff>167735</xdr:rowOff>
    </xdr:from>
    <xdr:to>
      <xdr:col>11</xdr:col>
      <xdr:colOff>181207</xdr:colOff>
      <xdr:row>26</xdr:row>
      <xdr:rowOff>32368</xdr:rowOff>
    </xdr:to>
    <xdr:graphicFrame macro="">
      <xdr:nvGraphicFramePr>
        <xdr:cNvPr id="13" name="Chart 1">
          <a:extLst>
            <a:ext uri="{FF2B5EF4-FFF2-40B4-BE49-F238E27FC236}">
              <a16:creationId xmlns:a16="http://schemas.microsoft.com/office/drawing/2014/main" id="{61AE8EA7-30C0-7019-3FDF-2ED4566FB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12</xdr:col>
      <xdr:colOff>0</xdr:colOff>
      <xdr:row>22</xdr:row>
      <xdr:rowOff>38098</xdr:rowOff>
    </xdr:from>
    <xdr:to>
      <xdr:col>20</xdr:col>
      <xdr:colOff>285750</xdr:colOff>
      <xdr:row>32</xdr:row>
      <xdr:rowOff>38099</xdr:rowOff>
    </xdr:to>
    <xdr:graphicFrame macro="">
      <xdr:nvGraphicFramePr>
        <xdr:cNvPr id="15" name="Chart 9">
          <a:extLst>
            <a:ext uri="{FF2B5EF4-FFF2-40B4-BE49-F238E27FC236}">
              <a16:creationId xmlns:a16="http://schemas.microsoft.com/office/drawing/2014/main" id="{404E9CAF-F8FE-B5AD-91B8-4BEE86C89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323384</xdr:colOff>
      <xdr:row>13</xdr:row>
      <xdr:rowOff>77128</xdr:rowOff>
    </xdr:from>
    <xdr:to>
      <xdr:col>8</xdr:col>
      <xdr:colOff>260193</xdr:colOff>
      <xdr:row>15</xdr:row>
      <xdr:rowOff>92926</xdr:rowOff>
    </xdr:to>
    <xdr:sp macro="" textlink="">
      <xdr:nvSpPr>
        <xdr:cNvPr id="21" name="TextBox 20">
          <a:extLst>
            <a:ext uri="{FF2B5EF4-FFF2-40B4-BE49-F238E27FC236}">
              <a16:creationId xmlns:a16="http://schemas.microsoft.com/office/drawing/2014/main" id="{39D90FEF-255D-BCBF-0664-2F4BA32B7D00}"/>
            </a:ext>
          </a:extLst>
        </xdr:cNvPr>
        <xdr:cNvSpPr txBox="1"/>
      </xdr:nvSpPr>
      <xdr:spPr>
        <a:xfrm>
          <a:off x="2163335" y="2493226"/>
          <a:ext cx="3003395" cy="387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Patients by Age Group</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893171298" createdVersion="5" refreshedVersion="8" minRefreshableVersion="3" recordCount="0" supportSubquery="1" supportAdvancedDrill="1" xr:uid="{7BE32DB4-708E-4692-9140-B6F87CCE12D2}">
  <cacheSource type="external" connectionId="3"/>
  <cacheFields count="4">
    <cacheField name="[Measures].[Distinct Count of Patient Id]" caption="Distinct Count of Patient Id" numFmtId="0" hierarchy="25" level="32767"/>
    <cacheField name="[calender table].[calender_table (Day)].[calender_table (Day)]" caption="calender_tabl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 table].[calender_table (Month)].[calender_table (Month)]" caption="calender_table (Month)" numFmtId="0" hierarchy="1" level="1">
      <sharedItems containsSemiMixedTypes="0" containsNonDate="0" containsString="0"/>
    </cacheField>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2"/>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2" memberValueDatatype="130" unbalanced="0">
      <fieldsUsage count="2">
        <fieldUsage x="-1"/>
        <fieldUsage x="1"/>
      </fieldsUsage>
    </cacheHierarchy>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3"/>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895717592" createdVersion="5" refreshedVersion="8" minRefreshableVersion="3" recordCount="0" supportSubquery="1" supportAdvancedDrill="1" xr:uid="{79511F4C-79D0-4F51-BE73-D4FB935FD042}">
  <cacheSource type="external" connectionId="3"/>
  <cacheFields count="3">
    <cacheField name="[Measures].[Distinct Count of Patient Id]" caption="Distinct Count of Patient Id" numFmtId="0" hierarchy="25" level="32767"/>
    <cacheField name="[calender table].[calender_table (Month)].[calender_table (Month)]" caption="calender_table (Month)" numFmtId="0" hierarchy="1" level="1">
      <sharedItems containsSemiMixedTypes="0" containsNonDate="0" containsString="0"/>
    </cacheField>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1"/>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2"/>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898148148" createdVersion="5" refreshedVersion="8" minRefreshableVersion="3" recordCount="0" supportSubquery="1" supportAdvancedDrill="1" xr:uid="{77B89B1D-3504-4468-B910-88FA5DE52819}">
  <cacheSource type="external" connectionId="3"/>
  <cacheFields count="3">
    <cacheField name="[Measures].[Average of Patient Waittime]" caption="Average of Patient Waittime" numFmtId="0" hierarchy="27" level="32767"/>
    <cacheField name="[calender table].[calender_table (Month)].[calender_table (Month)]" caption="calender_table (Month)" numFmtId="0" hierarchy="1" level="1">
      <sharedItems containsSemiMixedTypes="0" containsNonDate="0" containsString="0"/>
    </cacheField>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1"/>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2"/>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899074071" createdVersion="5" refreshedVersion="8" minRefreshableVersion="3" recordCount="0" supportSubquery="1" supportAdvancedDrill="1" xr:uid="{99F33A98-259F-49A7-B60D-1DEFF49D0769}">
  <cacheSource type="external" connectionId="3"/>
  <cacheFields count="3">
    <cacheField name="[Measures].[Sum of Patient Satisfaction Score]" caption="Sum of Patient Satisfaction Score" numFmtId="0" hierarchy="28" level="32767"/>
    <cacheField name="[calender table].[calender_table (Month)].[calender_table (Month)]" caption="calender_table (Month)" numFmtId="0" hierarchy="1" level="1">
      <sharedItems containsSemiMixedTypes="0" containsNonDate="0" containsString="0"/>
    </cacheField>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1"/>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2"/>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899884257" createdVersion="5" refreshedVersion="8" minRefreshableVersion="3" recordCount="0" supportSubquery="1" supportAdvancedDrill="1" xr:uid="{2CB9D5BA-D854-4FFB-A7A1-E8F9CFA084A5}">
  <cacheSource type="external" connectionId="3"/>
  <cacheFields count="4">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 table].[calender_table (Month)].[calender_table (Month)]" caption="calender_table (Month)" numFmtId="0" hierarchy="1"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2"/>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0" memberValueDatatype="130" unbalanced="0"/>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calender_tabl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901041665" createdVersion="5" refreshedVersion="8" minRefreshableVersion="3" recordCount="0" supportSubquery="1" supportAdvancedDrill="1" xr:uid="{7ADE1F90-B236-4829-B432-64D2767E3A60}">
  <cacheSource type="external" connectionId="3"/>
  <cacheFields count="3">
    <cacheField name="[Hospital Emergency Room Data].[Calculated Column 1].[Calculated Column 1]" caption="Calculated Column 1" numFmtId="0" hierarchy="16" level="1">
      <sharedItems count="8">
        <s v="0-9"/>
        <s v="10-19"/>
        <s v="20-29"/>
        <s v="30-39"/>
        <s v="40-49"/>
        <s v="50-59"/>
        <s v="60-69"/>
        <s v="70-79"/>
      </sharedItems>
    </cacheField>
    <cacheField name="[Measures].[Count of Calculated Column 1]" caption="Count of Calculated Column 1" numFmtId="0" hierarchy="30" level="32767"/>
    <cacheField name="[calender table].[calender_table (Month)].[calender_table (Month)]" caption="calender_table (Month)" numFmtId="0" hierarchy="1"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2"/>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0" memberValueDatatype="130" unbalanced="0"/>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0"/>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901967596" createdVersion="5" refreshedVersion="8" minRefreshableVersion="3" recordCount="0" supportSubquery="1" supportAdvancedDrill="1" xr:uid="{C72DE2C6-D25A-4694-8B12-C2C1E238CE94}">
  <cacheSource type="external" connectionId="3"/>
  <cacheFields count="3">
    <cacheField name="[Hospital Emergency Room Data].[Calculated Column 2].[Calculated Column 2]" caption="Calculated Column 2" numFmtId="0" hierarchy="17" level="1">
      <sharedItems count="2">
        <s v="DELAY"/>
        <s v="ON TIME"/>
      </sharedItems>
    </cacheField>
    <cacheField name="[Measures].[Count of Calculated Column 2]" caption="Count of Calculated Column 2" numFmtId="0" hierarchy="31" level="32767"/>
    <cacheField name="[calender table].[calender_table (Month)].[calender_table (Month)]" caption="calender_table (Month)" numFmtId="0" hierarchy="1"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2"/>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0" memberValueDatatype="130" unbalanced="0"/>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0"/>
      </fieldsUsage>
    </cacheHierarchy>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906597222" createdVersion="5" refreshedVersion="8" minRefreshableVersion="3" recordCount="0" supportSubquery="1" supportAdvancedDrill="1" xr:uid="{CA3AC9A5-3584-44F7-8834-7E4DC5F2F371}">
  <cacheSource type="external" connectionId="3"/>
  <cacheFields count="4">
    <cacheField name="[calender table].[calender_table (Month)].[calender_table (Month)]" caption="calender_tabl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Id]" caption="Count of Patient Id" numFmtId="0" hierarchy="24" level="32767"/>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0"/>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3"/>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909606478" createdVersion="5" refreshedVersion="8" minRefreshableVersion="3" recordCount="0" supportSubquery="1" supportAdvancedDrill="1" xr:uid="{3D21D07E-0856-4244-BE07-C2050D561462}">
  <cacheSource type="external" connectionId="3"/>
  <cacheFields count="4">
    <cacheField name="[calender table].[calender_table (Month)].[calender_table (Month)]" caption="calender_tabl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0"/>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3"/>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912500003" createdVersion="5" refreshedVersion="8" minRefreshableVersion="3" recordCount="0" supportSubquery="1" supportAdvancedDrill="1" xr:uid="{F348335A-F9B0-4163-8855-89C7BF1CD50F}">
  <cacheSource type="external" connectionId="3"/>
  <cacheFields count="5">
    <cacheField name="[calender table].[calender_table (Month)].[calender_table (Month)]" caption="calender_table (Month)" numFmtId="0" hierarchy="1" level="1">
      <sharedItems count="1">
        <s v="May"/>
      </sharedItems>
    </cacheField>
    <cacheField name="[calender table].[calender_table (Quarter)].[calender_table (Quarter)]" caption="calender_table (Quarter)" numFmtId="0" hierarchy="4" level="1">
      <sharedItems count="1">
        <s v="Qtr2"/>
      </sharedItems>
    </cacheField>
    <cacheField name="[calender table].[calender_table (Day)].[calender_table (Day)]" caption="calender_tabl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 table].[calender_table].[calender_table]" caption="calender_tabl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2" memberValueDatatype="7" unbalanced="0">
      <fieldsUsage count="2">
        <fieldUsage x="-1"/>
        <fieldUsage x="3"/>
      </fieldsUsage>
    </cacheHierarchy>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0"/>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2" memberValueDatatype="130" unbalanced="0">
      <fieldsUsage count="2">
        <fieldUsage x="-1"/>
        <fieldUsage x="2"/>
      </fieldsUsage>
    </cacheHierarchy>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4"/>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2"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999914814813" createdVersion="5" refreshedVersion="8" minRefreshableVersion="3" recordCount="0" supportSubquery="1" supportAdvancedDrill="1" xr:uid="{2191381D-FA57-40E4-9253-57312843B4F3}">
  <cacheSource type="external" connectionId="3"/>
  <cacheFields count="3">
    <cacheField name="[Measures].[Average of Patient Waittime]" caption="Average of Patient Waittime" numFmtId="0" hierarchy="27" level="32767"/>
    <cacheField name="[calender table].[calender_table (Month)].[calender_table (Month)]" caption="calender_table (Month)" numFmtId="0" hierarchy="1" level="1">
      <sharedItems containsSemiMixedTypes="0" containsNonDate="0" containsString="0"/>
    </cacheField>
    <cacheField name="[calender table].[calender_table (Year)].[calender_table (Year)]" caption="calender_table (Year)" numFmtId="0" hierarchy="3" level="1">
      <sharedItems containsSemiMixedTypes="0" containsNonDate="0" containsString="0"/>
    </cacheField>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fieldsUsage count="2">
        <fieldUsage x="-1"/>
        <fieldUsage x="1"/>
      </fieldsUsage>
    </cacheHierarchy>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fieldsUsage count="2">
        <fieldUsage x="-1"/>
        <fieldUsage x="2"/>
      </fieldsUsage>
    </cacheHierarchy>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9.001024305559" createdVersion="8" refreshedVersion="8" minRefreshableVersion="3" recordCount="0" supportSubquery="1" supportAdvancedDrill="1" xr:uid="{9238E1C4-F4A8-4743-A463-C26C1BADD29D}">
  <cacheSource type="external" connectionId="3"/>
  <cacheFields count="1">
    <cacheField name="[Measures].[Count of Patient Id]" caption="Count of Patient Id" numFmtId="0" hierarchy="24" level="32767"/>
  </cacheFields>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0" memberValueDatatype="130" unbalanced="0"/>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0" memberValueDatatype="130" unbalanced="0"/>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RIDHI NIRAYANWAL" refreshedDate="46118.873299999999" createdVersion="3" refreshedVersion="8" minRefreshableVersion="3" recordCount="0" supportSubquery="1" supportAdvancedDrill="1" xr:uid="{8387ACF2-734A-4860-8E81-97C2F86EC925}">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 table].[calender_table]" caption="calender_table" attribute="1" time="1" defaultMemberUniqueName="[calender table].[calender_table].[All]" allUniqueName="[calender table].[calender_table].[All]" dimensionUniqueName="[calender table]" displayFolder="" count="0" memberValueDatatype="7" unbalanced="0"/>
    <cacheHierarchy uniqueName="[calender table].[calender_table (Month)]" caption="calender_table (Month)" attribute="1" defaultMemberUniqueName="[calender table].[calender_table (Month)].[All]" allUniqueName="[calender table].[calender_table (Month)].[All]" dimensionUniqueName="[calender table]" displayFolder="" count="2" memberValueDatatype="130" unbalanced="0"/>
    <cacheHierarchy uniqueName="[calender table].[calender_table (Day)]" caption="calender_table (Day)" attribute="1" defaultMemberUniqueName="[calender table].[calender_table (Day)].[All]" allUniqueName="[calender table].[calender_table (Day)].[All]" dimensionUniqueName="[calender table]" displayFolder="" count="0" memberValueDatatype="130" unbalanced="0"/>
    <cacheHierarchy uniqueName="[calender table].[calender_table (Year)]" caption="calender_table (Year)" attribute="1" defaultMemberUniqueName="[calender table].[calender_table (Year)].[All]" allUniqueName="[calender table].[calender_table (Year)].[All]" dimensionUniqueName="[calender table]" displayFolder="" count="2" memberValueDatatype="130" unbalanced="0"/>
    <cacheHierarchy uniqueName="[calender table].[calender_table (Quarter)]" caption="calender_table (Quarter)" attribute="1" defaultMemberUniqueName="[calender table].[calender_table (Quarter)].[All]" allUniqueName="[calender table].[calender_tabl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er table].[calender_table (Day Index)]" caption="calender_table (Day Index)" attribute="1" defaultMemberUniqueName="[calender table].[calender_table (Day Index)].[All]" allUniqueName="[calender table].[calender_table (Day Index)].[All]" dimensionUniqueName="[calender table]" displayFolder="" count="0" memberValueDatatype="5" unbalanced="0" hidden="1"/>
    <cacheHierarchy uniqueName="[calender table].[calender_table (Month Index)]" caption="calender_table (Month Index)" attribute="1" defaultMemberUniqueName="[calender table].[calender_table (Month Index)].[All]" allUniqueName="[calender table].[calender_tabl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name]" caption="Count of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798760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2E5D7-D5D6-4A4B-8022-7F81B942CCBB}" name="PivotTable13"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60:Q61" firstHeaderRow="1" firstDataRow="1" firstDataCol="0"/>
  <pivotFields count="1">
    <pivotField dataField="1" subtotalTop="0" showAll="0" defaultSubtotal="0"/>
  </pivotFields>
  <rowItems count="1">
    <i/>
  </rowItems>
  <colItems count="1">
    <i/>
  </colItems>
  <dataFields count="1">
    <dataField name="Count of Patient Id" fld="0"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93CB8-8A33-48FA-890A-2D08F5236908}" name="PivotTable1" cacheId="20" applyNumberFormats="0" applyBorderFormats="0" applyFontFormats="0" applyPatternFormats="0" applyAlignmentFormats="0" applyWidthHeightFormats="1" dataCaption="Values" tag="5b0f85f7-df23-41bc-9ca1-eeaf4aca8e67"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 table].[calender_table (Month)].&amp;[May]"/>
      </members>
    </pivotHierarchy>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87A6E2-9C99-49DF-BA65-D4F7A19A8427}" name="PivotTable6" cacheId="17" applyNumberFormats="0" applyBorderFormats="0" applyFontFormats="0" applyPatternFormats="0" applyAlignmentFormats="0" applyWidthHeightFormats="1" dataCaption="Values" tag="0935ae5e-4841-4bfa-adf6-4d5c2b6a349b" updatedVersion="8" minRefreshableVersion="3" subtotalHiddenItems="1" itemPrintTitles="1" createdVersion="5" indent="0" outline="1" outlineData="1" multipleFieldFilters="0" chartFormat="41">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calender_table (Month)].&amp;[May]"/>
      </members>
    </pivotHierarchy>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6CC97A-4AE3-40CE-B14F-C2563710AC3F}" name="PivotTable8" cacheId="32" applyNumberFormats="0" applyBorderFormats="0" applyFontFormats="0" applyPatternFormats="0" applyAlignmentFormats="0" applyWidthHeightFormats="1" dataCaption="Values" tag="29b4054a-7597-4a9c-9a7a-5b7b0f14db7b" updatedVersion="8" minRefreshableVersion="3" subtotalHiddenItems="1" itemPrintTitles="1" createdVersion="5" indent="0" outline="1" outlineData="1" multipleFieldFilters="0" chartFormat="17">
  <location ref="G26:H3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Calculated Column 1" fld="1" subtotal="count" baseField="0" baseItem="0"/>
  </dataFields>
  <chartFormats count="2">
    <chartFormat chart="8"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calender_tabl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EF07BC-F052-43A4-8750-8CCAD92EDF8C}" name="PivotTable10" cacheId="38" applyNumberFormats="0" applyBorderFormats="0" applyFontFormats="0" applyPatternFormats="0" applyAlignmentFormats="0" applyWidthHeightFormats="1" dataCaption="Values" tag="896bfd2e-5e45-4ada-b042-4aa614af2563" updatedVersion="8" minRefreshableVersion="3" subtotalHiddenItems="1" itemPrintTitles="1" createdVersion="5" indent="0" outline="1" outlineData="1" multipleFieldFilters="0" chartFormat="14">
  <location ref="F54:G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6">
    <chartFormat chart="8"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 table].[calender_table (Month)].&amp;[May]"/>
      </members>
    </pivotHierarchy>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A3A50-FC71-4D22-A9EA-D2B714FBF0EC}" name="PivotTable3" cacheId="47" applyNumberFormats="0" applyBorderFormats="0" applyFontFormats="0" applyPatternFormats="0" applyAlignmentFormats="0" applyWidthHeightFormats="1" dataCaption="Values" tag="f3dc327f-12c8-455f-9f09-c4f64a64378a" updatedVersion="8" minRefreshableVersion="3" subtotalHiddenItems="1" itemPrintTitles="1" createdVersion="5" indent="0" outline="1" outlineData="1" multipleFieldFilters="0" chartFormat="2">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3">
    <pivotHierarchy dragToData="1"/>
    <pivotHierarchy multipleItemSelectionAllowed="1" dragToData="1">
      <members count="1" level="1">
        <member name="[calender table].[calender_table (Month)].&amp;[May]"/>
      </members>
    </pivotHierarchy>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CE66F2-8D4C-4A51-9692-2B5938541647}" name="PivotTable2" cacheId="29" applyNumberFormats="0" applyBorderFormats="0" applyFontFormats="0" applyPatternFormats="0" applyAlignmentFormats="0" applyWidthHeightFormats="1" dataCaption="Values" tag="792d249c-b8ca-4cc3-b72a-66e35a17c011" updatedVersion="8" minRefreshableVersion="3" subtotalHiddenItems="1" itemPrintTitles="1" createdVersion="5" indent="0" outline="1" outlineData="1" multipleFieldFilters="0" chartFormat="8">
  <location ref="J4:L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6">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0" count="1" selected="0">
            <x v="1"/>
          </reference>
        </references>
      </pivotArea>
    </chartFormat>
    <chartFormat chart="5" format="3">
      <pivotArea type="data" outline="0" fieldPosition="0">
        <references count="2">
          <reference field="4294967294" count="1" selected="0">
            <x v="1"/>
          </reference>
          <reference field="0" count="1" selected="0">
            <x v="0"/>
          </reference>
        </references>
      </pivotArea>
    </chartFormat>
  </chartFormats>
  <pivotHierarchies count="34">
    <pivotHierarchy dragToData="1"/>
    <pivotHierarchy multipleItemSelectionAllowed="1" dragToData="1">
      <members count="1" level="1">
        <member name="[calender table].[calender_tabl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569E40-FB8E-421A-BB50-61AB9E5FB879}" name="PivotTable5" cacheId="26" applyNumberFormats="0" applyBorderFormats="0" applyFontFormats="0" applyPatternFormats="0" applyAlignmentFormats="0" applyWidthHeightFormats="1" dataCaption="Values" tag="4c0a9a8c-abc6-471a-8a1b-555ff9a59e73"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Patient Satisfaction Score" fld="0" baseField="0" baseItem="0"/>
  </dataFields>
  <pivotHierarchies count="33">
    <pivotHierarchy dragToData="1"/>
    <pivotHierarchy multipleItemSelectionAllowed="1" dragToData="1">
      <members count="1" level="1">
        <member name="[calender table].[calender_table (Month)].&amp;[May]"/>
      </members>
    </pivotHierarchy>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caption="Distinct Count of Patient Id"/>
    <pivotHierarchy dragToData="1"/>
    <pivotHierarchy dragToData="1" caption="Average of Patient Waittime"/>
    <pivotHierarchy dragToData="1" caption="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B95EAA-491B-4FF0-8C11-3045EF11F650}" name="PivotTable12" cacheId="44" applyNumberFormats="0" applyBorderFormats="0" applyFontFormats="0" applyPatternFormats="0" applyAlignmentFormats="0" applyWidthHeightFormats="1" dataCaption="Values" tag="6166ed12-7d7f-4c3e-b63e-0db406a78f00" updatedVersion="8" minRefreshableVersion="3" subtotalHiddenItems="1" itemPrintTitles="1" createdVersion="5" indent="0" outline="1" outlineData="1" multipleFieldFilters="0" chartFormat="17">
  <location ref="F78:AL113" firstHeaderRow="1" firstDataRow="2" firstDataCol="1"/>
  <pivotFields count="5">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Col"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3">
    <field x="0"/>
    <field x="1"/>
    <field x="2"/>
  </rowFields>
  <rowItems count="34">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t="grand">
      <x/>
    </i>
  </rowItems>
  <colFields count="1">
    <field x="3"/>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pivotHierarchies count="33">
    <pivotHierarchy dragToData="1"/>
    <pivotHierarchy multipleItemSelectionAllowed="1" dragToData="1"/>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4"/>
    <rowHierarchyUsage hierarchyUsage="2"/>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4A82D6-2E65-4D40-AFF0-476E403FA82B}" name="PivotTable4" cacheId="23" applyNumberFormats="0" applyBorderFormats="0" applyFontFormats="0" applyPatternFormats="0" applyAlignmentFormats="0" applyWidthHeightFormats="1" dataCaption="Values" tag="f3dc327f-12c8-455f-9f09-c4f64a64378a" updatedVersion="8" minRefreshableVersion="3" subtotalHiddenItems="1" itemPrintTitles="1" createdVersion="5" indent="0" outline="1" outlineData="1" multipleFieldFilters="0" chartFormat="2">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3">
    <pivotHierarchy dragToData="1"/>
    <pivotHierarchy multipleItemSelectionAllowed="1" dragToData="1">
      <members count="1" level="1">
        <member name="[calender table].[calender_table (Month)].&amp;[May]"/>
      </members>
    </pivotHierarchy>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0C9EB7-C0A7-4BC2-B8B6-485EDC08590E}" name="PivotTable9" cacheId="35" applyNumberFormats="0" applyBorderFormats="0" applyFontFormats="0" applyPatternFormats="0" applyAlignmentFormats="0" applyWidthHeightFormats="1" dataCaption="Values" tag="ce29c251-87cb-428c-891d-cd01c220857b" updatedVersion="8" minRefreshableVersion="3" subtotalHiddenItems="1" itemPrintTitles="1" createdVersion="5" indent="0" outline="1" outlineData="1" multipleFieldFilters="0" chartFormat="25">
  <location ref="G39:H4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alculated Column 2" fld="1" subtotal="count" baseField="0" baseItem="0"/>
  </dataFields>
  <chartFormats count="6">
    <chartFormat chart="8"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0" count="1" selected="0">
            <x v="0"/>
          </reference>
        </references>
      </pivotArea>
    </chartFormat>
    <chartFormat chart="21" format="6">
      <pivotArea type="data" outline="0" fieldPosition="0">
        <references count="2">
          <reference field="4294967294" count="1" selected="0">
            <x v="0"/>
          </reference>
          <reference field="0" count="1" selected="0">
            <x v="1"/>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multipleItemSelectionAllowed="1" dragToData="1">
      <members count="1" level="1">
        <member name="[calender table].[calender_tabl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8B6945-CF89-49A3-8298-DAA5DF9E567A}" name="PivotTable11" cacheId="41" applyNumberFormats="0" applyBorderFormats="0" applyFontFormats="0" applyPatternFormats="0" applyAlignmentFormats="0" applyWidthHeightFormats="1" dataCaption="Values" tag="c978529f-d904-4343-abdf-78b449df4bf9" updatedVersion="8" minRefreshableVersion="3" subtotalHiddenItems="1" itemPrintTitles="1" createdVersion="5" indent="0" outline="1" outlineData="1" multipleFieldFilters="0" chartFormat="19">
  <location ref="F65:G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1">
    <chartFormat chart="17" format="1"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 table].[calender_table (Month)].&amp;[May]"/>
      </members>
    </pivotHierarchy>
    <pivotHierarchy dragToData="1"/>
    <pivotHierarchy multipleItemSelectionAllowed="1" dragToData="1">
      <members count="1" level="1">
        <member name="[calender table].[calender_tabl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table__Month" xr10:uid="{86353808-7A76-40CD-90B5-7563B9133C06}" sourceName="[calender table].[calender_table (Month)]">
  <pivotTables>
    <pivotTable tabId="2" name="PivotTable6"/>
    <pivotTable tabId="2" name="PivotTable1"/>
    <pivotTable tabId="2" name="PivotTable4"/>
    <pivotTable tabId="2" name="PivotTable5"/>
    <pivotTable tabId="2" name="PivotTable2"/>
    <pivotTable tabId="2" name="PivotTable8"/>
    <pivotTable tabId="2" name="PivotTable9"/>
    <pivotTable tabId="2" name="PivotTable10"/>
    <pivotTable tabId="2" name="PivotTable11"/>
    <pivotTable tabId="2" name="PivotTable12"/>
    <pivotTable tabId="2" name="PivotTable3"/>
  </pivotTables>
  <data>
    <olap pivotCacheId="1879876057">
      <levels count="2">
        <level uniqueName="[calender table].[calender_table (Month)].[(All)]" sourceCaption="(All)" count="0"/>
        <level uniqueName="[calender table].[calender_table (Month)].[calender_table (Month)]" sourceCaption="calender_table (Month)" count="12">
          <ranges>
            <range startItem="0">
              <i n="[calender table].[calender_table (Month)].&amp;[Jan]" c="Jan"/>
              <i n="[calender table].[calender_table (Month)].&amp;[Feb]" c="Feb"/>
              <i n="[calender table].[calender_table (Month)].&amp;[Mar]" c="Mar"/>
              <i n="[calender table].[calender_table (Month)].&amp;[Apr]" c="Apr"/>
              <i n="[calender table].[calender_table (Month)].&amp;[May]" c="May"/>
              <i n="[calender table].[calender_table (Month)].&amp;[Jun]" c="Jun"/>
              <i n="[calender table].[calender_table (Month)].&amp;[Jul]" c="Jul"/>
              <i n="[calender table].[calender_table (Month)].&amp;[Aug]" c="Aug"/>
              <i n="[calender table].[calender_table (Month)].&amp;[Sep]" c="Sep"/>
              <i n="[calender table].[calender_table (Month)].&amp;[Oct]" c="Oct"/>
              <i n="[calender table].[calender_table (Month)].&amp;[Nov]" c="Nov"/>
              <i n="[calender table].[calender_table (Month)].&amp;[Dec]" c="Dec"/>
            </range>
          </ranges>
        </level>
      </levels>
      <selections count="1">
        <selection n="[calender table].[calender_tabl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table__Year" xr10:uid="{BF8592CF-DD29-488A-81AE-08D3BB3E5BF3}" sourceName="[calender table].[calender_table (Year)]">
  <pivotTables>
    <pivotTable tabId="2" name="PivotTable12"/>
    <pivotTable tabId="2" name="PivotTable1"/>
    <pivotTable tabId="2" name="PivotTable10"/>
    <pivotTable tabId="2" name="PivotTable11"/>
    <pivotTable tabId="2" name="PivotTable4"/>
    <pivotTable tabId="2" name="PivotTable5"/>
    <pivotTable tabId="2" name="PivotTable6"/>
    <pivotTable tabId="2" name="PivotTable3"/>
  </pivotTables>
  <data>
    <olap pivotCacheId="1879876057">
      <levels count="2">
        <level uniqueName="[calender table].[calender_table (Year)].[(All)]" sourceCaption="(All)" count="0"/>
        <level uniqueName="[calender table].[calender_table (Year)].[calender_table (Year)]" sourceCaption="calender_table (Year)" count="2">
          <ranges>
            <range startItem="0">
              <i n="[calender table].[calender_table (Year)].&amp;[2023]" c="2023"/>
              <i n="[calender table].[calender_table (Year)].&amp;[2024]" c="2024"/>
            </range>
          </ranges>
        </level>
      </levels>
      <selections count="1">
        <selection n="[calender table].[calender_tabl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_table (Month)" xr10:uid="{2CEC77AC-F6A3-4819-AC5C-0F6D0B63463C}" cache="Slicer_calender_table__Month" caption="calender_table (Month)" startItem="5" level="1" rowHeight="247650"/>
  <slicer name="calender_table (Year)" xr10:uid="{E5ED842C-7944-4861-B0AD-60009F308820}" cache="Slicer_calender_table__Year" caption="calender_tabl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_table (Month) 1" xr10:uid="{B089A8BF-4F2A-4784-84EC-6D6FCC982F9A}" cache="Slicer_calender_table__Month" caption="calender_table (Month)" showCaption="0" level="1" rowHeight="324000"/>
  <slicer name="calender_table (Year) 1" xr10:uid="{DC3C35AD-2E21-4CFF-BE09-1A229D78707E}" cache="Slicer_calender_table__Year" caption="calender_table (Year)" showCaption="0" level="1"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6F16-78D7-4709-A526-72719F6C0D66}">
  <dimension ref="B3:AL113"/>
  <sheetViews>
    <sheetView topLeftCell="AL1" workbookViewId="0">
      <selection activeCell="Q60" sqref="Q60:Q62"/>
    </sheetView>
  </sheetViews>
  <sheetFormatPr defaultRowHeight="14.4" x14ac:dyDescent="0.3"/>
  <cols>
    <col min="2" max="2" width="23.109375" bestFit="1" customWidth="1"/>
    <col min="3" max="3" width="28.88671875" bestFit="1" customWidth="1"/>
    <col min="4" max="4" width="12.44140625" bestFit="1" customWidth="1"/>
    <col min="5" max="5" width="23.33203125" bestFit="1" customWidth="1"/>
    <col min="6" max="8" width="10.33203125" bestFit="1" customWidth="1"/>
    <col min="9" max="9" width="19" customWidth="1"/>
    <col min="10" max="10" width="12.44140625" bestFit="1" customWidth="1"/>
    <col min="11" max="11" width="11.77734375" customWidth="1"/>
    <col min="12" max="12" width="21.21875" customWidth="1"/>
    <col min="13" max="16" width="10.33203125" bestFit="1" customWidth="1"/>
    <col min="17" max="17" width="16.21875" bestFit="1" customWidth="1"/>
    <col min="18" max="9232" width="15.5546875" bestFit="1" customWidth="1"/>
    <col min="9233" max="9233" width="10.5546875" bestFit="1" customWidth="1"/>
  </cols>
  <sheetData>
    <row r="3" spans="2:12" x14ac:dyDescent="0.3">
      <c r="B3" t="s">
        <v>2</v>
      </c>
      <c r="D3" s="1" t="s">
        <v>0</v>
      </c>
      <c r="E3" t="s">
        <v>2</v>
      </c>
    </row>
    <row r="4" spans="2:12" x14ac:dyDescent="0.3">
      <c r="B4" s="11">
        <v>519</v>
      </c>
      <c r="D4" s="2" t="s">
        <v>39</v>
      </c>
      <c r="E4" s="11">
        <v>14</v>
      </c>
      <c r="J4" s="1" t="s">
        <v>0</v>
      </c>
      <c r="K4" t="s">
        <v>7</v>
      </c>
      <c r="L4" t="s">
        <v>8</v>
      </c>
    </row>
    <row r="5" spans="2:12" x14ac:dyDescent="0.3">
      <c r="D5" s="2" t="s">
        <v>40</v>
      </c>
      <c r="E5" s="11">
        <v>21</v>
      </c>
      <c r="J5" s="2" t="s">
        <v>5</v>
      </c>
      <c r="K5" s="11">
        <v>495</v>
      </c>
      <c r="L5" s="3">
        <v>0.49549549549549549</v>
      </c>
    </row>
    <row r="6" spans="2:12" x14ac:dyDescent="0.3">
      <c r="B6" t="s">
        <v>3</v>
      </c>
      <c r="D6" s="2" t="s">
        <v>41</v>
      </c>
      <c r="E6" s="11">
        <v>21</v>
      </c>
      <c r="J6" s="2" t="s">
        <v>6</v>
      </c>
      <c r="K6" s="11">
        <v>504</v>
      </c>
      <c r="L6" s="3">
        <v>0.50450450450450446</v>
      </c>
    </row>
    <row r="7" spans="2:12" x14ac:dyDescent="0.3">
      <c r="B7" s="11">
        <v>35.809248554913296</v>
      </c>
      <c r="D7" s="2" t="s">
        <v>42</v>
      </c>
      <c r="E7" s="11">
        <v>15</v>
      </c>
      <c r="J7" s="2" t="s">
        <v>1</v>
      </c>
      <c r="K7" s="11">
        <v>999</v>
      </c>
      <c r="L7" s="3">
        <v>1</v>
      </c>
    </row>
    <row r="8" spans="2:12" x14ac:dyDescent="0.3">
      <c r="D8" s="2" t="s">
        <v>43</v>
      </c>
      <c r="E8" s="11">
        <v>11</v>
      </c>
    </row>
    <row r="9" spans="2:12" x14ac:dyDescent="0.3">
      <c r="B9" t="s">
        <v>4</v>
      </c>
      <c r="D9" s="2" t="s">
        <v>44</v>
      </c>
      <c r="E9" s="11">
        <v>17</v>
      </c>
    </row>
    <row r="10" spans="2:12" x14ac:dyDescent="0.3">
      <c r="B10" s="11">
        <v>813</v>
      </c>
      <c r="D10" s="2" t="s">
        <v>45</v>
      </c>
      <c r="E10" s="11">
        <v>15</v>
      </c>
    </row>
    <row r="11" spans="2:12" x14ac:dyDescent="0.3">
      <c r="D11" s="2" t="s">
        <v>46</v>
      </c>
      <c r="E11" s="11">
        <v>17</v>
      </c>
    </row>
    <row r="12" spans="2:12" x14ac:dyDescent="0.3">
      <c r="D12" s="2" t="s">
        <v>47</v>
      </c>
      <c r="E12" s="11">
        <v>13</v>
      </c>
    </row>
    <row r="13" spans="2:12" x14ac:dyDescent="0.3">
      <c r="B13" t="s">
        <v>3</v>
      </c>
      <c r="D13" s="2" t="s">
        <v>48</v>
      </c>
      <c r="E13" s="11">
        <v>24</v>
      </c>
    </row>
    <row r="14" spans="2:12" x14ac:dyDescent="0.3">
      <c r="B14" s="11">
        <v>35.809248554913296</v>
      </c>
      <c r="D14" s="2" t="s">
        <v>49</v>
      </c>
      <c r="E14" s="11">
        <v>13</v>
      </c>
    </row>
    <row r="15" spans="2:12" x14ac:dyDescent="0.3">
      <c r="D15" s="2" t="s">
        <v>50</v>
      </c>
      <c r="E15" s="11">
        <v>14</v>
      </c>
    </row>
    <row r="16" spans="2:12" x14ac:dyDescent="0.3">
      <c r="D16" s="2" t="s">
        <v>51</v>
      </c>
      <c r="E16" s="11">
        <v>12</v>
      </c>
    </row>
    <row r="17" spans="4:12" x14ac:dyDescent="0.3">
      <c r="D17" s="2" t="s">
        <v>52</v>
      </c>
      <c r="E17" s="11">
        <v>11</v>
      </c>
    </row>
    <row r="18" spans="4:12" x14ac:dyDescent="0.3">
      <c r="D18" s="2" t="s">
        <v>53</v>
      </c>
      <c r="E18" s="11">
        <v>16</v>
      </c>
    </row>
    <row r="19" spans="4:12" x14ac:dyDescent="0.3">
      <c r="D19" s="2" t="s">
        <v>54</v>
      </c>
      <c r="E19" s="11">
        <v>20</v>
      </c>
      <c r="I19" s="6" t="s">
        <v>9</v>
      </c>
      <c r="J19" s="6" t="s">
        <v>10</v>
      </c>
      <c r="K19" s="6" t="s">
        <v>11</v>
      </c>
      <c r="L19" s="6" t="s">
        <v>12</v>
      </c>
    </row>
    <row r="20" spans="4:12" x14ac:dyDescent="0.3">
      <c r="D20" s="2" t="s">
        <v>55</v>
      </c>
      <c r="E20" s="11">
        <v>15</v>
      </c>
      <c r="I20" s="4" t="str">
        <f>J5</f>
        <v>Admitted</v>
      </c>
      <c r="J20" s="4">
        <f t="shared" ref="J20:K20" si="0">K5</f>
        <v>495</v>
      </c>
      <c r="K20" s="5">
        <f t="shared" si="0"/>
        <v>0.49549549549549549</v>
      </c>
      <c r="L20" s="4"/>
    </row>
    <row r="21" spans="4:12" x14ac:dyDescent="0.3">
      <c r="D21" s="2" t="s">
        <v>56</v>
      </c>
      <c r="E21" s="11">
        <v>19</v>
      </c>
      <c r="I21" s="4" t="str">
        <f>J6</f>
        <v>not admitted</v>
      </c>
      <c r="J21" s="4">
        <f t="shared" ref="J21:K21" si="1">K6</f>
        <v>504</v>
      </c>
      <c r="K21" s="5">
        <f t="shared" si="1"/>
        <v>0.50450450450450446</v>
      </c>
      <c r="L21" s="4"/>
    </row>
    <row r="22" spans="4:12" x14ac:dyDescent="0.3">
      <c r="D22" s="2" t="s">
        <v>57</v>
      </c>
      <c r="E22" s="11">
        <v>16</v>
      </c>
    </row>
    <row r="23" spans="4:12" x14ac:dyDescent="0.3">
      <c r="D23" s="2" t="s">
        <v>58</v>
      </c>
      <c r="E23" s="11">
        <v>17</v>
      </c>
    </row>
    <row r="24" spans="4:12" x14ac:dyDescent="0.3">
      <c r="D24" s="2" t="s">
        <v>59</v>
      </c>
      <c r="E24" s="11">
        <v>28</v>
      </c>
    </row>
    <row r="25" spans="4:12" x14ac:dyDescent="0.3">
      <c r="D25" s="2" t="s">
        <v>60</v>
      </c>
      <c r="E25" s="11">
        <v>22</v>
      </c>
    </row>
    <row r="26" spans="4:12" x14ac:dyDescent="0.3">
      <c r="D26" s="2" t="s">
        <v>61</v>
      </c>
      <c r="E26" s="11">
        <v>20</v>
      </c>
      <c r="G26" s="1" t="s">
        <v>0</v>
      </c>
      <c r="H26" t="s">
        <v>22</v>
      </c>
    </row>
    <row r="27" spans="4:12" x14ac:dyDescent="0.3">
      <c r="D27" s="2" t="s">
        <v>62</v>
      </c>
      <c r="E27" s="11">
        <v>17</v>
      </c>
      <c r="G27" s="2" t="s">
        <v>14</v>
      </c>
      <c r="H27" s="11">
        <v>136</v>
      </c>
    </row>
    <row r="28" spans="4:12" x14ac:dyDescent="0.3">
      <c r="D28" s="2" t="s">
        <v>63</v>
      </c>
      <c r="E28" s="11">
        <v>18</v>
      </c>
      <c r="G28" s="2" t="s">
        <v>15</v>
      </c>
      <c r="H28" s="11">
        <v>113</v>
      </c>
    </row>
    <row r="29" spans="4:12" x14ac:dyDescent="0.3">
      <c r="D29" s="2" t="s">
        <v>64</v>
      </c>
      <c r="E29" s="11">
        <v>13</v>
      </c>
      <c r="G29" s="2" t="s">
        <v>16</v>
      </c>
      <c r="H29" s="11">
        <v>131</v>
      </c>
    </row>
    <row r="30" spans="4:12" x14ac:dyDescent="0.3">
      <c r="D30" s="2" t="s">
        <v>65</v>
      </c>
      <c r="E30" s="11">
        <v>13</v>
      </c>
      <c r="G30" s="2" t="s">
        <v>17</v>
      </c>
      <c r="H30" s="11">
        <v>144</v>
      </c>
    </row>
    <row r="31" spans="4:12" x14ac:dyDescent="0.3">
      <c r="D31" s="2" t="s">
        <v>66</v>
      </c>
      <c r="E31" s="11">
        <v>13</v>
      </c>
      <c r="G31" s="2" t="s">
        <v>18</v>
      </c>
      <c r="H31" s="11">
        <v>121</v>
      </c>
    </row>
    <row r="32" spans="4:12" x14ac:dyDescent="0.3">
      <c r="D32" s="2" t="s">
        <v>67</v>
      </c>
      <c r="E32" s="11">
        <v>20</v>
      </c>
      <c r="G32" s="2" t="s">
        <v>19</v>
      </c>
      <c r="H32" s="11">
        <v>128</v>
      </c>
    </row>
    <row r="33" spans="4:8" x14ac:dyDescent="0.3">
      <c r="D33" s="2" t="s">
        <v>68</v>
      </c>
      <c r="E33" s="11">
        <v>15</v>
      </c>
      <c r="G33" s="2" t="s">
        <v>20</v>
      </c>
      <c r="H33" s="11">
        <v>119</v>
      </c>
    </row>
    <row r="34" spans="4:8" x14ac:dyDescent="0.3">
      <c r="D34" s="2" t="s">
        <v>69</v>
      </c>
      <c r="E34" s="11">
        <v>19</v>
      </c>
      <c r="G34" s="2" t="s">
        <v>21</v>
      </c>
      <c r="H34" s="11">
        <v>107</v>
      </c>
    </row>
    <row r="35" spans="4:8" x14ac:dyDescent="0.3">
      <c r="D35" s="2" t="s">
        <v>1</v>
      </c>
      <c r="E35" s="11">
        <v>519</v>
      </c>
      <c r="G35" s="2" t="s">
        <v>1</v>
      </c>
      <c r="H35" s="11">
        <v>999</v>
      </c>
    </row>
    <row r="39" spans="4:8" x14ac:dyDescent="0.3">
      <c r="G39" s="1" t="s">
        <v>0</v>
      </c>
      <c r="H39" t="s">
        <v>26</v>
      </c>
    </row>
    <row r="40" spans="4:8" x14ac:dyDescent="0.3">
      <c r="G40" s="2" t="s">
        <v>24</v>
      </c>
      <c r="H40" s="11">
        <v>591</v>
      </c>
    </row>
    <row r="41" spans="4:8" x14ac:dyDescent="0.3">
      <c r="G41" s="2" t="s">
        <v>25</v>
      </c>
      <c r="H41" s="11">
        <v>408</v>
      </c>
    </row>
    <row r="42" spans="4:8" x14ac:dyDescent="0.3">
      <c r="G42" s="2" t="s">
        <v>1</v>
      </c>
      <c r="H42" s="11">
        <v>999</v>
      </c>
    </row>
    <row r="54" spans="6:17" x14ac:dyDescent="0.3">
      <c r="F54" s="1" t="s">
        <v>0</v>
      </c>
      <c r="G54" t="s">
        <v>13</v>
      </c>
    </row>
    <row r="55" spans="6:17" x14ac:dyDescent="0.3">
      <c r="F55" s="2" t="s">
        <v>27</v>
      </c>
      <c r="G55" s="11">
        <v>254</v>
      </c>
    </row>
    <row r="56" spans="6:17" x14ac:dyDescent="0.3">
      <c r="F56" s="2" t="s">
        <v>28</v>
      </c>
      <c r="G56" s="11">
        <v>265</v>
      </c>
    </row>
    <row r="57" spans="6:17" x14ac:dyDescent="0.3">
      <c r="F57" s="2" t="s">
        <v>1</v>
      </c>
      <c r="G57" s="11">
        <v>519</v>
      </c>
    </row>
    <row r="60" spans="6:17" x14ac:dyDescent="0.3">
      <c r="Q60" t="s">
        <v>13</v>
      </c>
    </row>
    <row r="61" spans="6:17" x14ac:dyDescent="0.3">
      <c r="Q61" s="11">
        <v>9216</v>
      </c>
    </row>
    <row r="65" spans="6:38" x14ac:dyDescent="0.3">
      <c r="F65" s="1" t="s">
        <v>0</v>
      </c>
      <c r="G65" t="s">
        <v>37</v>
      </c>
    </row>
    <row r="66" spans="6:38" x14ac:dyDescent="0.3">
      <c r="F66" s="2" t="s">
        <v>29</v>
      </c>
      <c r="G66" s="11">
        <v>11</v>
      </c>
    </row>
    <row r="67" spans="6:38" x14ac:dyDescent="0.3">
      <c r="F67" s="2" t="s">
        <v>30</v>
      </c>
      <c r="G67" s="11">
        <v>8</v>
      </c>
    </row>
    <row r="68" spans="6:38" x14ac:dyDescent="0.3">
      <c r="F68" s="2" t="s">
        <v>31</v>
      </c>
      <c r="G68" s="11">
        <v>102</v>
      </c>
    </row>
    <row r="69" spans="6:38" x14ac:dyDescent="0.3">
      <c r="F69" s="2" t="s">
        <v>32</v>
      </c>
      <c r="G69" s="11">
        <v>16</v>
      </c>
    </row>
    <row r="70" spans="6:38" x14ac:dyDescent="0.3">
      <c r="F70" s="2" t="s">
        <v>33</v>
      </c>
      <c r="G70" s="11">
        <v>313</v>
      </c>
    </row>
    <row r="71" spans="6:38" x14ac:dyDescent="0.3">
      <c r="F71" s="2" t="s">
        <v>34</v>
      </c>
      <c r="G71" s="11">
        <v>51</v>
      </c>
    </row>
    <row r="72" spans="6:38" x14ac:dyDescent="0.3">
      <c r="F72" s="2" t="s">
        <v>35</v>
      </c>
      <c r="G72" s="11">
        <v>15</v>
      </c>
    </row>
    <row r="73" spans="6:38" x14ac:dyDescent="0.3">
      <c r="F73" s="2" t="s">
        <v>36</v>
      </c>
      <c r="G73" s="11">
        <v>3</v>
      </c>
    </row>
    <row r="74" spans="6:38" x14ac:dyDescent="0.3">
      <c r="F74" s="2" t="s">
        <v>1</v>
      </c>
      <c r="G74" s="11">
        <v>519</v>
      </c>
    </row>
    <row r="78" spans="6:38" x14ac:dyDescent="0.3">
      <c r="G78" s="1" t="s">
        <v>23</v>
      </c>
    </row>
    <row r="79" spans="6:38" x14ac:dyDescent="0.3">
      <c r="F79" s="1" t="s">
        <v>0</v>
      </c>
      <c r="G79" s="8">
        <v>45413</v>
      </c>
      <c r="H79" s="8">
        <v>45414</v>
      </c>
      <c r="I79" s="8">
        <v>45415</v>
      </c>
      <c r="J79" s="8">
        <v>45416</v>
      </c>
      <c r="K79" s="8">
        <v>45417</v>
      </c>
      <c r="L79" s="8">
        <v>45418</v>
      </c>
      <c r="M79" s="8">
        <v>45419</v>
      </c>
      <c r="N79" s="8">
        <v>45420</v>
      </c>
      <c r="O79" s="8">
        <v>45421</v>
      </c>
      <c r="P79" s="8">
        <v>45422</v>
      </c>
      <c r="Q79" s="8">
        <v>45423</v>
      </c>
      <c r="R79" s="8">
        <v>45424</v>
      </c>
      <c r="S79" s="8">
        <v>45425</v>
      </c>
      <c r="T79" s="8">
        <v>45426</v>
      </c>
      <c r="U79" s="8">
        <v>45427</v>
      </c>
      <c r="V79" s="8">
        <v>45428</v>
      </c>
      <c r="W79" s="8">
        <v>45429</v>
      </c>
      <c r="X79" s="8">
        <v>45430</v>
      </c>
      <c r="Y79" s="8">
        <v>45431</v>
      </c>
      <c r="Z79" s="8">
        <v>45432</v>
      </c>
      <c r="AA79" s="8">
        <v>45433</v>
      </c>
      <c r="AB79" s="8">
        <v>45434</v>
      </c>
      <c r="AC79" s="8">
        <v>45435</v>
      </c>
      <c r="AD79" s="8">
        <v>45436</v>
      </c>
      <c r="AE79" s="8">
        <v>45437</v>
      </c>
      <c r="AF79" s="8">
        <v>45438</v>
      </c>
      <c r="AG79" s="8">
        <v>45439</v>
      </c>
      <c r="AH79" s="8">
        <v>45440</v>
      </c>
      <c r="AI79" s="8">
        <v>45441</v>
      </c>
      <c r="AJ79" s="8">
        <v>45442</v>
      </c>
      <c r="AK79" s="8">
        <v>45443</v>
      </c>
      <c r="AL79" t="s">
        <v>1</v>
      </c>
    </row>
    <row r="80" spans="6:38" x14ac:dyDescent="0.3">
      <c r="F80" s="2" t="s">
        <v>70</v>
      </c>
    </row>
    <row r="81" spans="6:6" x14ac:dyDescent="0.3">
      <c r="F81" s="7" t="s">
        <v>71</v>
      </c>
    </row>
    <row r="82" spans="6:6" x14ac:dyDescent="0.3">
      <c r="F82" s="9" t="s">
        <v>39</v>
      </c>
    </row>
    <row r="83" spans="6:6" x14ac:dyDescent="0.3">
      <c r="F83" s="9" t="s">
        <v>40</v>
      </c>
    </row>
    <row r="84" spans="6:6" x14ac:dyDescent="0.3">
      <c r="F84" s="9" t="s">
        <v>41</v>
      </c>
    </row>
    <row r="85" spans="6:6" x14ac:dyDescent="0.3">
      <c r="F85" s="9" t="s">
        <v>42</v>
      </c>
    </row>
    <row r="86" spans="6:6" x14ac:dyDescent="0.3">
      <c r="F86" s="9" t="s">
        <v>43</v>
      </c>
    </row>
    <row r="87" spans="6:6" x14ac:dyDescent="0.3">
      <c r="F87" s="9" t="s">
        <v>44</v>
      </c>
    </row>
    <row r="88" spans="6:6" x14ac:dyDescent="0.3">
      <c r="F88" s="9" t="s">
        <v>45</v>
      </c>
    </row>
    <row r="89" spans="6:6" x14ac:dyDescent="0.3">
      <c r="F89" s="9" t="s">
        <v>46</v>
      </c>
    </row>
    <row r="90" spans="6:6" x14ac:dyDescent="0.3">
      <c r="F90" s="9" t="s">
        <v>47</v>
      </c>
    </row>
    <row r="91" spans="6:6" x14ac:dyDescent="0.3">
      <c r="F91" s="9" t="s">
        <v>48</v>
      </c>
    </row>
    <row r="92" spans="6:6" x14ac:dyDescent="0.3">
      <c r="F92" s="9" t="s">
        <v>49</v>
      </c>
    </row>
    <row r="93" spans="6:6" x14ac:dyDescent="0.3">
      <c r="F93" s="9" t="s">
        <v>50</v>
      </c>
    </row>
    <row r="94" spans="6:6" x14ac:dyDescent="0.3">
      <c r="F94" s="9" t="s">
        <v>51</v>
      </c>
    </row>
    <row r="95" spans="6:6" x14ac:dyDescent="0.3">
      <c r="F95" s="9" t="s">
        <v>52</v>
      </c>
    </row>
    <row r="96" spans="6:6" x14ac:dyDescent="0.3">
      <c r="F96" s="9" t="s">
        <v>53</v>
      </c>
    </row>
    <row r="97" spans="6:6" x14ac:dyDescent="0.3">
      <c r="F97" s="9" t="s">
        <v>54</v>
      </c>
    </row>
    <row r="98" spans="6:6" x14ac:dyDescent="0.3">
      <c r="F98" s="9" t="s">
        <v>55</v>
      </c>
    </row>
    <row r="99" spans="6:6" x14ac:dyDescent="0.3">
      <c r="F99" s="9" t="s">
        <v>56</v>
      </c>
    </row>
    <row r="100" spans="6:6" x14ac:dyDescent="0.3">
      <c r="F100" s="9" t="s">
        <v>57</v>
      </c>
    </row>
    <row r="101" spans="6:6" x14ac:dyDescent="0.3">
      <c r="F101" s="9" t="s">
        <v>58</v>
      </c>
    </row>
    <row r="102" spans="6:6" x14ac:dyDescent="0.3">
      <c r="F102" s="9" t="s">
        <v>59</v>
      </c>
    </row>
    <row r="103" spans="6:6" x14ac:dyDescent="0.3">
      <c r="F103" s="9" t="s">
        <v>60</v>
      </c>
    </row>
    <row r="104" spans="6:6" x14ac:dyDescent="0.3">
      <c r="F104" s="9" t="s">
        <v>61</v>
      </c>
    </row>
    <row r="105" spans="6:6" x14ac:dyDescent="0.3">
      <c r="F105" s="9" t="s">
        <v>62</v>
      </c>
    </row>
    <row r="106" spans="6:6" x14ac:dyDescent="0.3">
      <c r="F106" s="9" t="s">
        <v>63</v>
      </c>
    </row>
    <row r="107" spans="6:6" x14ac:dyDescent="0.3">
      <c r="F107" s="9" t="s">
        <v>64</v>
      </c>
    </row>
    <row r="108" spans="6:6" x14ac:dyDescent="0.3">
      <c r="F108" s="9" t="s">
        <v>65</v>
      </c>
    </row>
    <row r="109" spans="6:6" x14ac:dyDescent="0.3">
      <c r="F109" s="9" t="s">
        <v>66</v>
      </c>
    </row>
    <row r="110" spans="6:6" x14ac:dyDescent="0.3">
      <c r="F110" s="9" t="s">
        <v>67</v>
      </c>
    </row>
    <row r="111" spans="6:6" x14ac:dyDescent="0.3">
      <c r="F111" s="9" t="s">
        <v>68</v>
      </c>
    </row>
    <row r="112" spans="6:6" x14ac:dyDescent="0.3">
      <c r="F112" s="9" t="s">
        <v>69</v>
      </c>
    </row>
    <row r="113" spans="6:6" x14ac:dyDescent="0.3">
      <c r="F113" s="2" t="s">
        <v>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44EB-C22B-4A30-BFFB-637102FA27B7}">
  <dimension ref="A1:AA48"/>
  <sheetViews>
    <sheetView showGridLines="0" tabSelected="1" zoomScale="82" zoomScaleNormal="82" workbookViewId="0">
      <selection activeCell="X6" sqref="X6"/>
    </sheetView>
  </sheetViews>
  <sheetFormatPr defaultRowHeight="14.4" x14ac:dyDescent="0.3"/>
  <cols>
    <col min="29" max="29" width="8.77734375" customWidth="1"/>
  </cols>
  <sheetData>
    <row r="1" spans="1:27"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t="s">
        <v>38</v>
      </c>
    </row>
    <row r="2" spans="1:27"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9A41B78-4F00-4ED7-BBB6-388A9EDBDC84}">
  <ds:schemaRefs/>
</ds:datastoreItem>
</file>

<file path=customXml/itemProps2.xml><?xml version="1.0" encoding="utf-8"?>
<ds:datastoreItem xmlns:ds="http://schemas.openxmlformats.org/officeDocument/2006/customXml" ds:itemID="{442DF9B5-36DA-4978-BE5E-81E580F232B2}">
  <ds:schemaRefs/>
</ds:datastoreItem>
</file>

<file path=customXml/itemProps3.xml><?xml version="1.0" encoding="utf-8"?>
<ds:datastoreItem xmlns:ds="http://schemas.openxmlformats.org/officeDocument/2006/customXml" ds:itemID="{1D927C0A-A315-4329-ACC2-2C1BF53B99A3}">
  <ds:schemaRefs/>
</ds:datastoreItem>
</file>

<file path=customXml/itemProps4.xml><?xml version="1.0" encoding="utf-8"?>
<ds:datastoreItem xmlns:ds="http://schemas.openxmlformats.org/officeDocument/2006/customXml" ds:itemID="{0AC9C10B-D8A8-4F65-8024-AEBD9FDF2641}">
  <ds:schemaRefs/>
</ds:datastoreItem>
</file>

<file path=customXml/itemProps5.xml><?xml version="1.0" encoding="utf-8"?>
<ds:datastoreItem xmlns:ds="http://schemas.openxmlformats.org/officeDocument/2006/customXml" ds:itemID="{AF9AC8CA-0B81-49FC-A4C0-E22D23A4C1F2}">
  <ds:schemaRefs/>
</ds:datastoreItem>
</file>

<file path=customXml/itemProps6.xml><?xml version="1.0" encoding="utf-8"?>
<ds:datastoreItem xmlns:ds="http://schemas.openxmlformats.org/officeDocument/2006/customXml" ds:itemID="{E945D930-0400-4FAD-8AF2-A43AF5E21B16}">
  <ds:schemaRefs/>
</ds:datastoreItem>
</file>

<file path=customXml/itemProps7.xml><?xml version="1.0" encoding="utf-8"?>
<ds:datastoreItem xmlns:ds="http://schemas.openxmlformats.org/officeDocument/2006/customXml" ds:itemID="{69510149-6A5C-45C4-B390-6862F6176DAE}">
  <ds:schemaRefs/>
</ds:datastoreItem>
</file>

<file path=customXml/itemProps8.xml><?xml version="1.0" encoding="utf-8"?>
<ds:datastoreItem xmlns:ds="http://schemas.openxmlformats.org/officeDocument/2006/customXml" ds:itemID="{96D65918-7012-4B9D-9E01-ADF06E72063B}">
  <ds:schemaRefs/>
</ds:datastoreItem>
</file>

<file path=customXml/itemProps9.xml><?xml version="1.0" encoding="utf-8"?>
<ds:datastoreItem xmlns:ds="http://schemas.openxmlformats.org/officeDocument/2006/customXml" ds:itemID="{4AD72002-A421-4FD1-BC19-36EE11AD53F0}">
  <ds:schemaRefs/>
</ds:datastoreItem>
</file>

<file path=customXml/itemProps10.xml><?xml version="1.0" encoding="utf-8"?>
<ds:datastoreItem xmlns:ds="http://schemas.openxmlformats.org/officeDocument/2006/customXml" ds:itemID="{677FFD95-C004-4FA9-9916-135438E26893}">
  <ds:schemaRefs/>
</ds:datastoreItem>
</file>

<file path=customXml/itemProps11.xml><?xml version="1.0" encoding="utf-8"?>
<ds:datastoreItem xmlns:ds="http://schemas.openxmlformats.org/officeDocument/2006/customXml" ds:itemID="{271E29E0-4F9E-4C84-AECC-8A89CF54135D}">
  <ds:schemaRefs/>
</ds:datastoreItem>
</file>

<file path=customXml/itemProps12.xml><?xml version="1.0" encoding="utf-8"?>
<ds:datastoreItem xmlns:ds="http://schemas.openxmlformats.org/officeDocument/2006/customXml" ds:itemID="{2FE961AE-6522-4EBE-B43E-BF01AAB9DBC8}">
  <ds:schemaRefs/>
</ds:datastoreItem>
</file>

<file path=customXml/itemProps13.xml><?xml version="1.0" encoding="utf-8"?>
<ds:datastoreItem xmlns:ds="http://schemas.openxmlformats.org/officeDocument/2006/customXml" ds:itemID="{15095C5B-64C5-42AF-94D5-7FE1CD8C796B}">
  <ds:schemaRefs>
    <ds:schemaRef ds:uri="http://schemas.microsoft.com/DataMashup"/>
  </ds:schemaRefs>
</ds:datastoreItem>
</file>

<file path=customXml/itemProps14.xml><?xml version="1.0" encoding="utf-8"?>
<ds:datastoreItem xmlns:ds="http://schemas.openxmlformats.org/officeDocument/2006/customXml" ds:itemID="{D80829B2-F192-4D94-B93D-567B9D3E5E40}">
  <ds:schemaRefs/>
</ds:datastoreItem>
</file>

<file path=customXml/itemProps15.xml><?xml version="1.0" encoding="utf-8"?>
<ds:datastoreItem xmlns:ds="http://schemas.openxmlformats.org/officeDocument/2006/customXml" ds:itemID="{6A79FAD5-B434-4BB3-B8DD-830ED100D63D}">
  <ds:schemaRefs/>
</ds:datastoreItem>
</file>

<file path=customXml/itemProps16.xml><?xml version="1.0" encoding="utf-8"?>
<ds:datastoreItem xmlns:ds="http://schemas.openxmlformats.org/officeDocument/2006/customXml" ds:itemID="{F0931442-1494-44D7-9341-6B1EE6FF113D}">
  <ds:schemaRefs/>
</ds:datastoreItem>
</file>

<file path=customXml/itemProps17.xml><?xml version="1.0" encoding="utf-8"?>
<ds:datastoreItem xmlns:ds="http://schemas.openxmlformats.org/officeDocument/2006/customXml" ds:itemID="{982ECDF9-58EA-4FD3-A3A5-F37613D05554}">
  <ds:schemaRefs/>
</ds:datastoreItem>
</file>

<file path=customXml/itemProps18.xml><?xml version="1.0" encoding="utf-8"?>
<ds:datastoreItem xmlns:ds="http://schemas.openxmlformats.org/officeDocument/2006/customXml" ds:itemID="{F2CD83BF-8EA7-438C-99FA-5B8D3ADB82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Hospital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SAMRIDHI NIRAYANWAL</dc:creator>
  <cp:lastModifiedBy>SAMRIDHI NIRAYANWAL</cp:lastModifiedBy>
  <dcterms:created xsi:type="dcterms:W3CDTF">2026-04-05T07:59:22Z</dcterms:created>
  <dcterms:modified xsi:type="dcterms:W3CDTF">2026-04-06T18:40:44Z</dcterms:modified>
</cp:coreProperties>
</file>